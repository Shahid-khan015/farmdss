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SS-Claude Aug 14 2026\"/>
    </mc:Choice>
  </mc:AlternateContent>
  <bookViews>
    <workbookView xWindow="0" yWindow="0" windowWidth="19200" windowHeight="6930"/>
  </bookViews>
  <sheets>
    <sheet name="Performance Calculator" sheetId="1" r:id="rId1"/>
    <sheet name="tractor and implement data" sheetId="3" r:id="rId2"/>
  </sheets>
  <calcPr calcId="162913"/>
</workbook>
</file>

<file path=xl/calcChain.xml><?xml version="1.0" encoding="utf-8"?>
<calcChain xmlns="http://schemas.openxmlformats.org/spreadsheetml/2006/main">
  <c r="C47" i="1" l="1"/>
  <c r="C43" i="1"/>
  <c r="G58" i="1"/>
  <c r="C46" i="1"/>
  <c r="C67" i="1"/>
  <c r="C66" i="1"/>
  <c r="C70" i="1" s="1"/>
  <c r="C78" i="1" l="1"/>
  <c r="C69" i="1"/>
  <c r="C68" i="1"/>
  <c r="C71" i="1" s="1"/>
  <c r="C72" i="1" s="1"/>
  <c r="C55" i="1"/>
  <c r="C45" i="1"/>
  <c r="C44" i="1"/>
  <c r="C42" i="1"/>
  <c r="C41" i="1"/>
  <c r="C40" i="1"/>
  <c r="C48" i="1" l="1"/>
  <c r="C60" i="1"/>
  <c r="C74" i="1"/>
  <c r="C73" i="1"/>
  <c r="C49" i="1" l="1"/>
  <c r="C50" i="1"/>
  <c r="C52" i="1" s="1"/>
  <c r="C77" i="1" l="1"/>
  <c r="C51" i="1"/>
  <c r="C53" i="1" s="1"/>
  <c r="C54" i="1" s="1"/>
  <c r="C57" i="1"/>
  <c r="C58" i="1" s="1"/>
  <c r="C59" i="1" s="1"/>
  <c r="C61" i="1" s="1"/>
  <c r="C56" i="1"/>
  <c r="C63" i="1" l="1"/>
  <c r="C64" i="1" s="1"/>
  <c r="C62" i="1"/>
  <c r="C65" i="1" l="1"/>
  <c r="C75" i="1" s="1"/>
  <c r="C76" i="1" s="1"/>
</calcChain>
</file>

<file path=xl/sharedStrings.xml><?xml version="1.0" encoding="utf-8"?>
<sst xmlns="http://schemas.openxmlformats.org/spreadsheetml/2006/main" count="507" uniqueCount="355">
  <si>
    <t>TRACTOR-IMPLEMENT PERFORMANCE SIMULATION &amp; CALCULATOR</t>
  </si>
  <si>
    <t>Interactive Decision Support System (DSS) Engine based on ASAE / Wismer-Luth / Brixius Models</t>
  </si>
  <si>
    <t>Parameter Description</t>
  </si>
  <si>
    <t>Symbol</t>
  </si>
  <si>
    <t>Value</t>
  </si>
  <si>
    <t>Unit</t>
  </si>
  <si>
    <t>Type / Formula Source</t>
  </si>
  <si>
    <t>Notes / Guidance</t>
  </si>
  <si>
    <t>1. INPUT PARAMETERS (Editable Cells)</t>
  </si>
  <si>
    <t>Soil Texture Factor</t>
  </si>
  <si>
    <t>Fi</t>
  </si>
  <si>
    <t>—</t>
  </si>
  <si>
    <t>User Input</t>
  </si>
  <si>
    <t>1.0 for medium soil texture</t>
  </si>
  <si>
    <t>ASAE Implement Parameter A</t>
  </si>
  <si>
    <t>A</t>
  </si>
  <si>
    <t>N/m</t>
  </si>
  <si>
    <t>Base force parameter</t>
  </si>
  <si>
    <t>ASAE Implement Parameter B</t>
  </si>
  <si>
    <t>B</t>
  </si>
  <si>
    <t>N·h/(m·km)</t>
  </si>
  <si>
    <t>Speed coefficient</t>
  </si>
  <si>
    <t>ASAE Implement Parameter C</t>
  </si>
  <si>
    <t>C</t>
  </si>
  <si>
    <t>N·h²/(m·km²)</t>
  </si>
  <si>
    <t>Speed-squared coefficient</t>
  </si>
  <si>
    <t>Soil Cone Index</t>
  </si>
  <si>
    <t>CI</t>
  </si>
  <si>
    <t>kPa</t>
  </si>
  <si>
    <t>Soil cone penetrometer strength</t>
  </si>
  <si>
    <t>Field Length</t>
  </si>
  <si>
    <t>L_field</t>
  </si>
  <si>
    <t>m</t>
  </si>
  <si>
    <t>Length of field plot</t>
  </si>
  <si>
    <t>Field Width</t>
  </si>
  <si>
    <t>W_field</t>
  </si>
  <si>
    <t>Width of field plot</t>
  </si>
  <si>
    <t>Operating Depth</t>
  </si>
  <si>
    <t>Td</t>
  </si>
  <si>
    <t>cm</t>
  </si>
  <si>
    <t>Tillage working depth</t>
  </si>
  <si>
    <t>Implement Working Width</t>
  </si>
  <si>
    <t>W</t>
  </si>
  <si>
    <t>Working width of implement</t>
  </si>
  <si>
    <t>Implement Mass</t>
  </si>
  <si>
    <t>Wm_kg</t>
  </si>
  <si>
    <t>kg</t>
  </si>
  <si>
    <t>Mass of implement</t>
  </si>
  <si>
    <t>Implement CG Distance from Hitch</t>
  </si>
  <si>
    <t>Xcgi</t>
  </si>
  <si>
    <t>Horizontal distance CG to hitch</t>
  </si>
  <si>
    <t>Vertical to Horizontal Ratio</t>
  </si>
  <si>
    <t>ratio</t>
  </si>
  <si>
    <t>Py / D vertical load ratio</t>
  </si>
  <si>
    <t>Operating Field Speed</t>
  </si>
  <si>
    <t>S</t>
  </si>
  <si>
    <t>km/h</t>
  </si>
  <si>
    <t>Forward travel speed</t>
  </si>
  <si>
    <t>Rated PTO Power</t>
  </si>
  <si>
    <t>Pt</t>
  </si>
  <si>
    <t>kW</t>
  </si>
  <si>
    <t>Maximum PTO power rating</t>
  </si>
  <si>
    <t>Rated Engine Speed</t>
  </si>
  <si>
    <t>N_engine</t>
  </si>
  <si>
    <t>rpm</t>
  </si>
  <si>
    <t>Engine operating RPM</t>
  </si>
  <si>
    <t>Maximum Engine Torque</t>
  </si>
  <si>
    <t>Tmax</t>
  </si>
  <si>
    <t>N·m</t>
  </si>
  <si>
    <t>Maximum engine torque</t>
  </si>
  <si>
    <t>Tractor Wheelbase</t>
  </si>
  <si>
    <t>L_wb</t>
  </si>
  <si>
    <t>Axle-to-axle distance</t>
  </si>
  <si>
    <t>Static Front Axle Mass</t>
  </si>
  <si>
    <t>Wf_kg</t>
  </si>
  <si>
    <t>Static front axle load</t>
  </si>
  <si>
    <t>Static Rear Axle Mass</t>
  </si>
  <si>
    <t>Wr_kg</t>
  </si>
  <si>
    <t>Static rear axle load</t>
  </si>
  <si>
    <t>Hitch Overhang Distance</t>
  </si>
  <si>
    <t>Hd</t>
  </si>
  <si>
    <t>Hitch distance from rear axle</t>
  </si>
  <si>
    <t>Tractor CG from Rear Axle</t>
  </si>
  <si>
    <t>Xcgt</t>
  </si>
  <si>
    <t>Center of gravity from rear axle</t>
  </si>
  <si>
    <t>Transmission Efficiency</t>
  </si>
  <si>
    <t>eta_t</t>
  </si>
  <si>
    <t>fraction</t>
  </si>
  <si>
    <t>Drive line efficiency (86%)</t>
  </si>
  <si>
    <t>Power Reserve Fraction</t>
  </si>
  <si>
    <t>PR</t>
  </si>
  <si>
    <t>Engine power reserve (20%)</t>
  </si>
  <si>
    <t>Front Tire Diameter</t>
  </si>
  <si>
    <t>df</t>
  </si>
  <si>
    <t>Overall front tire diameter</t>
  </si>
  <si>
    <t>Front Tire Section Width</t>
  </si>
  <si>
    <t>bf</t>
  </si>
  <si>
    <t>Front tire section width</t>
  </si>
  <si>
    <t>Rear Tire Diameter</t>
  </si>
  <si>
    <t>dr</t>
  </si>
  <si>
    <t>Overall rear tire diameter</t>
  </si>
  <si>
    <t>Rear Tire Section Width</t>
  </si>
  <si>
    <t>br</t>
  </si>
  <si>
    <t>Rear tire section width</t>
  </si>
  <si>
    <t>Rear Static Loaded Radius</t>
  </si>
  <si>
    <t>rslr</t>
  </si>
  <si>
    <t>Static loaded radius</t>
  </si>
  <si>
    <t>Rear Rolling Radius</t>
  </si>
  <si>
    <t>rr</t>
  </si>
  <si>
    <t>Dynamic rolling radius</t>
  </si>
  <si>
    <t>2. CALCULATED PERFORMANCE METRICS &amp; SYSTEM OUTPUTS</t>
  </si>
  <si>
    <t>Gravity Acceleration</t>
  </si>
  <si>
    <t>g</t>
  </si>
  <si>
    <t>m/s²</t>
  </si>
  <si>
    <t>Constant</t>
  </si>
  <si>
    <t>Standard gravitational acceleration</t>
  </si>
  <si>
    <t>Implement Weight</t>
  </si>
  <si>
    <t>Wm</t>
  </si>
  <si>
    <t>N</t>
  </si>
  <si>
    <t>Wm_kg * g</t>
  </si>
  <si>
    <t>Weight force of implement</t>
  </si>
  <si>
    <t>Total Tractor Mass Force</t>
  </si>
  <si>
    <t>Wt</t>
  </si>
  <si>
    <t>(Wf_kg + Wr_kg) * g</t>
  </si>
  <si>
    <t>Total static tractor weight force</t>
  </si>
  <si>
    <t>Draft Force</t>
  </si>
  <si>
    <t>D</t>
  </si>
  <si>
    <t>Fi*(A + B*S + C*S²)*W*(Td/10)</t>
  </si>
  <si>
    <t>ASAE D497 draft equation</t>
  </si>
  <si>
    <t>Vertical Soil Reaction</t>
  </si>
  <si>
    <t>Py</t>
  </si>
  <si>
    <t>ratio * D</t>
  </si>
  <si>
    <t>Vertical soil reaction force</t>
  </si>
  <si>
    <t>Effective Draft Depth</t>
  </si>
  <si>
    <t>Yd</t>
  </si>
  <si>
    <t>(2/3) * (Td / 100)</t>
  </si>
  <si>
    <t>Depth of draft action</t>
  </si>
  <si>
    <t>Front Wheel Eccentricity</t>
  </si>
  <si>
    <t>ef</t>
  </si>
  <si>
    <t>0.1 * df</t>
  </si>
  <si>
    <t>Front wheel offset</t>
  </si>
  <si>
    <t>Rear Wheel Eccentricity</t>
  </si>
  <si>
    <t>er</t>
  </si>
  <si>
    <t>0.1 * rr</t>
  </si>
  <si>
    <t>Rear wheel offset</t>
  </si>
  <si>
    <t>Dynamic Rear Axle Load</t>
  </si>
  <si>
    <t>Rr</t>
  </si>
  <si>
    <t>Moments balance about front axle</t>
  </si>
  <si>
    <t>Dynamic vertical rear axle reaction</t>
  </si>
  <si>
    <t>Dynamic Front Axle Load</t>
  </si>
  <si>
    <t>Rf</t>
  </si>
  <si>
    <t>Wt + Wm + Py - Rr</t>
  </si>
  <si>
    <t>Dynamic vertical front axle reaction</t>
  </si>
  <si>
    <t>Dynamic Load per Rear Wheel</t>
  </si>
  <si>
    <t>Wd_rear</t>
  </si>
  <si>
    <t>kN</t>
  </si>
  <si>
    <t>(Rr / 2) / 1000</t>
  </si>
  <si>
    <t>Single rear wheel dynamic load in kN</t>
  </si>
  <si>
    <t>Dynamic Load per Front Wheel</t>
  </si>
  <si>
    <t>Wd_front</t>
  </si>
  <si>
    <t>(Rf / 2) / 1000</t>
  </si>
  <si>
    <t>Single front wheel dynamic load in kN</t>
  </si>
  <si>
    <t>Rear Wheel Numeric</t>
  </si>
  <si>
    <t>Bn_rear</t>
  </si>
  <si>
    <t>(CI * br * dr) / Wd_rear</t>
  </si>
  <si>
    <t>Wismer-Luth rear mobility number</t>
  </si>
  <si>
    <t>Front Wheel Numeric</t>
  </si>
  <si>
    <t>Bn_front</t>
  </si>
  <si>
    <t>(CI * bf * df) / Wd_front</t>
  </si>
  <si>
    <t>Wismer-Luth front mobility number</t>
  </si>
  <si>
    <t>Front Motion Resistance Ratio</t>
  </si>
  <si>
    <t>pf</t>
  </si>
  <si>
    <t>1/Bn_front + 0.04</t>
  </si>
  <si>
    <t>Front wheel rolling resistance ratio</t>
  </si>
  <si>
    <t>Assumed Wheel Slip</t>
  </si>
  <si>
    <t>s</t>
  </si>
  <si>
    <t>Converged Slip Bound (2%)</t>
  </si>
  <si>
    <t>Working slip fraction for calculation</t>
  </si>
  <si>
    <t>Rear Motion Resistance Ratio</t>
  </si>
  <si>
    <t>pr</t>
  </si>
  <si>
    <t>1/Bn_rear + 0.04 + 0.5*s/sqrt(Bn_rear)</t>
  </si>
  <si>
    <t>Rear wheel rolling resistance ratio</t>
  </si>
  <si>
    <t>Gross Traction Ratio</t>
  </si>
  <si>
    <t>mu_g</t>
  </si>
  <si>
    <t>0.88 * (1 - e^(-0.1*Bn_rear))</t>
  </si>
  <si>
    <t>Gross tractive developed ratio</t>
  </si>
  <si>
    <t>Net Traction Coefficient</t>
  </si>
  <si>
    <t>mu</t>
  </si>
  <si>
    <t>mu_g*(1-e^(-7.5*s)) - 1/Bn - 0.5*s/sqrt(Bn)</t>
  </si>
  <si>
    <t>Net traction pull coefficient</t>
  </si>
  <si>
    <t>Tractive Efficiency</t>
  </si>
  <si>
    <t>TE</t>
  </si>
  <si>
    <t>mu * (1 - s) / mu_g</t>
  </si>
  <si>
    <t>Tractive power conversion efficiency</t>
  </si>
  <si>
    <t>Drawbar Power</t>
  </si>
  <si>
    <t>DBp</t>
  </si>
  <si>
    <t>D * (S / 3.6) / 1000</t>
  </si>
  <si>
    <t>Useful pull power developed</t>
  </si>
  <si>
    <t>Required PTO Power</t>
  </si>
  <si>
    <t>Ptr</t>
  </si>
  <si>
    <t>DBp / (TE * eta_t)</t>
  </si>
  <si>
    <t>Equivalent engine PTO power required</t>
  </si>
  <si>
    <t>Power Utilization</t>
  </si>
  <si>
    <t>Put</t>
  </si>
  <si>
    <t>%</t>
  </si>
  <si>
    <t>Ptr / (Pt * (1 - PR)) * 100</t>
  </si>
  <si>
    <t>Percentage of available PTO power used</t>
  </si>
  <si>
    <t>PTO Power Ratio X</t>
  </si>
  <si>
    <t>X</t>
  </si>
  <si>
    <t>Ptr / Pt</t>
  </si>
  <si>
    <t>Fractional engine load</t>
  </si>
  <si>
    <t>Specific Fuel Consumption</t>
  </si>
  <si>
    <t>SFC</t>
  </si>
  <si>
    <t>L/(kW·h)</t>
  </si>
  <si>
    <t>ASABE 2001 SFC model</t>
  </si>
  <si>
    <t>Specific fuel consumption rate</t>
  </si>
  <si>
    <t>Hourly Fuel Consumption</t>
  </si>
  <si>
    <t>Fuel_Lh</t>
  </si>
  <si>
    <t>L/h</t>
  </si>
  <si>
    <t>Fuel used per operating hour</t>
  </si>
  <si>
    <t>Theoretical Field Capacity</t>
  </si>
  <si>
    <t>FCth</t>
  </si>
  <si>
    <t>ha/h</t>
  </si>
  <si>
    <t>(S * W) / 10</t>
  </si>
  <si>
    <t>Theoretical field work rate</t>
  </si>
  <si>
    <t>Turning Time per Turn</t>
  </si>
  <si>
    <t>t_turn</t>
  </si>
  <si>
    <t>15.56 + 2.61*(W/S) - 1.41*S</t>
  </si>
  <si>
    <t>Time taken for single headland turn</t>
  </si>
  <si>
    <t>Total Field Turns</t>
  </si>
  <si>
    <t>N_turns</t>
  </si>
  <si>
    <t>turns</t>
  </si>
  <si>
    <t>ROUND(W_field / W, 0)</t>
  </si>
  <si>
    <t>Total turns across field width</t>
  </si>
  <si>
    <t>Field Area</t>
  </si>
  <si>
    <t>Area_ha</t>
  </si>
  <si>
    <t>ha</t>
  </si>
  <si>
    <t>(L_field * W_field) / 10000</t>
  </si>
  <si>
    <t>Total field plot area</t>
  </si>
  <si>
    <t>Theoretical Field Time</t>
  </si>
  <si>
    <t>T_th</t>
  </si>
  <si>
    <t>h</t>
  </si>
  <si>
    <t>Area / FCth</t>
  </si>
  <si>
    <t>Time required without turning losses</t>
  </si>
  <si>
    <t>Total Headland Turning Time</t>
  </si>
  <si>
    <t>T_turn_total</t>
  </si>
  <si>
    <t>(N_turns * t_turn) / 3600</t>
  </si>
  <si>
    <t>Total non-productive turning time</t>
  </si>
  <si>
    <t>Actual Field Capacity</t>
  </si>
  <si>
    <t>FCact</t>
  </si>
  <si>
    <t>Area / (T_th + T_turn_total)</t>
  </si>
  <si>
    <t>Effective field work rate</t>
  </si>
  <si>
    <t>Field Efficiency</t>
  </si>
  <si>
    <t>eta_field</t>
  </si>
  <si>
    <t>clamp((FCact / FCth)*100, 50, 95)</t>
  </si>
  <si>
    <t>Field operational efficiency</t>
  </si>
  <si>
    <t>Total Operating Time</t>
  </si>
  <si>
    <t>T_total</t>
  </si>
  <si>
    <t>Area / FCact</t>
  </si>
  <si>
    <t>Total time to complete field</t>
  </si>
  <si>
    <t>Fuel Consumption per Hectare</t>
  </si>
  <si>
    <t>Fuel_Lha</t>
  </si>
  <si>
    <t>L/ha</t>
  </si>
  <si>
    <t>Fuel_Lh / FCact</t>
  </si>
  <si>
    <t>Volumetric fuel consumption rate</t>
  </si>
  <si>
    <t>Overall Energy Efficiency</t>
  </si>
  <si>
    <t>eta_overall</t>
  </si>
  <si>
    <t>(DBp*3600/1000) / (FCth*Fuel_Lha*35.5) * 100</t>
  </si>
  <si>
    <t>Overall thermo-mechanical efficiency</t>
  </si>
  <si>
    <t>Front Ballast Target Ratio</t>
  </si>
  <si>
    <t>Kwef</t>
  </si>
  <si>
    <t>Rf / Wt</t>
  </si>
  <si>
    <t>Front dynamic load ratio</t>
  </si>
  <si>
    <t>Rear Ballast Required</t>
  </si>
  <si>
    <t>BRr</t>
  </si>
  <si>
    <t>0.00 (Sufficient dynamic load)</t>
  </si>
  <si>
    <t>Additional ballast weight needed</t>
  </si>
  <si>
    <t>front Static Loaded Radius</t>
  </si>
  <si>
    <t>front Rolling Radius</t>
  </si>
  <si>
    <t>fslr</t>
  </si>
  <si>
    <t>rf</t>
  </si>
  <si>
    <t>MB Plough two bottom</t>
  </si>
  <si>
    <t>implement width</t>
  </si>
  <si>
    <t>implement weight</t>
  </si>
  <si>
    <t>Implement CG from tractor hitch point</t>
  </si>
  <si>
    <t>Vertical to Horizontal force ratio</t>
  </si>
  <si>
    <t>Py/D</t>
  </si>
  <si>
    <t>ASABE parameters</t>
  </si>
  <si>
    <t>MB Plough three bottom</t>
  </si>
  <si>
    <t>Disc Plough single disc</t>
  </si>
  <si>
    <t>Disc Plough two  disc</t>
  </si>
  <si>
    <t>5 x 5 offset disc harrow</t>
  </si>
  <si>
    <t>6  x 6  offset disc harrow</t>
  </si>
  <si>
    <t>7  x 7  offset disc harrow</t>
  </si>
  <si>
    <t>9 tyne cultivator</t>
  </si>
  <si>
    <t>11 tyne cultivator</t>
  </si>
  <si>
    <t>13 tyne cultivator</t>
  </si>
  <si>
    <t>PTO power</t>
  </si>
  <si>
    <t>Rated engine speed</t>
  </si>
  <si>
    <t xml:space="preserve">maximum engine torque </t>
  </si>
  <si>
    <t>N-m</t>
  </si>
  <si>
    <t>wheel base</t>
  </si>
  <si>
    <t xml:space="preserve">static weight on front axle </t>
  </si>
  <si>
    <t>static weight on rear axle</t>
  </si>
  <si>
    <t>Tire _front</t>
  </si>
  <si>
    <t>Tire rear</t>
  </si>
  <si>
    <t>8 x 18</t>
  </si>
  <si>
    <t>Tractor weight</t>
  </si>
  <si>
    <t>CG away from rear axle</t>
  </si>
  <si>
    <t>Hitch point away from rear axle</t>
  </si>
  <si>
    <t>Front wheel rolling radius</t>
  </si>
  <si>
    <t>rear wheel rolling radius</t>
  </si>
  <si>
    <t>Front wheel tire overall dia</t>
  </si>
  <si>
    <t>mm</t>
  </si>
  <si>
    <t>front wheel section width</t>
  </si>
  <si>
    <t>front wheel static loaded radius</t>
  </si>
  <si>
    <t>front wheel rolling radius</t>
  </si>
  <si>
    <t>Rear wheel tire overall dia</t>
  </si>
  <si>
    <t>Rear wheel section width</t>
  </si>
  <si>
    <t>Rear wheel static loaded radius</t>
  </si>
  <si>
    <t>Rear  wheel rolling radius</t>
  </si>
  <si>
    <t>5.2 X 12</t>
  </si>
  <si>
    <t>6 x 16</t>
  </si>
  <si>
    <t>12.4 x 28</t>
  </si>
  <si>
    <t>13.6 x 28</t>
  </si>
  <si>
    <t>PTL 735 FE</t>
  </si>
  <si>
    <t>PTL 744 FE</t>
  </si>
  <si>
    <t>PTL 855 FE</t>
  </si>
  <si>
    <t>Eicher 368</t>
  </si>
  <si>
    <t>Eicher 485</t>
  </si>
  <si>
    <t>Farmtrac 45</t>
  </si>
  <si>
    <t>Farmtrac 55</t>
  </si>
  <si>
    <t>TAFE MF 245</t>
  </si>
  <si>
    <t>TAFE MF 241 DI(J)</t>
  </si>
  <si>
    <t>Sonalika 750 DI</t>
  </si>
  <si>
    <t>Sonalika 750 DI III</t>
  </si>
  <si>
    <t>Sonalika DI 55</t>
  </si>
  <si>
    <t>7.5  x 16</t>
  </si>
  <si>
    <t>Mahindra and Mahindra 605 DI</t>
  </si>
  <si>
    <t>16.9 x 28</t>
  </si>
  <si>
    <t>Johndeere 5310</t>
  </si>
  <si>
    <t>6.5 x 20</t>
  </si>
  <si>
    <t>New Holland 6010</t>
  </si>
  <si>
    <t>rslf</t>
  </si>
  <si>
    <t>Soil Type</t>
  </si>
  <si>
    <t>Fine</t>
  </si>
  <si>
    <t>medium</t>
  </si>
  <si>
    <t>coarse s</t>
  </si>
  <si>
    <t>SFC * Rated PTO power *0.88</t>
  </si>
  <si>
    <t>VST Shakti MT 180D HS/JAI</t>
  </si>
  <si>
    <t>New Holland 3230 NX</t>
  </si>
  <si>
    <t>New Holland 3630 TX</t>
  </si>
  <si>
    <t>Mahindra and Mahindra B 275 DI</t>
  </si>
  <si>
    <t>Fi value</t>
  </si>
  <si>
    <t>MB Plough single 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</si>
</sst>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2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color rgb="FF1B365D"/>
      <name val="Calibri"/>
    </font>
    <font>
      <sz val="10"/>
      <name val="Calibri"/>
    </font>
    <font>
      <b/>
      <sz val="10"/>
      <name val="Calibri"/>
    </font>
    <font>
      <sz val="11"/>
      <color rgb="FFFF0000"/>
      <name val="Calibri"/>
      <family val="2"/>
      <scheme val="minor"/>
    </font>
    <font>
      <b/>
      <sz val="10"/>
      <color rgb="FF333333"/>
      <name val="Arial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i/>
      <sz val="9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5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C3E5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right" vertical="center"/>
    </xf>
    <xf numFmtId="2" fontId="6" fillId="5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66" fontId="6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2" fontId="6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right" vertical="center"/>
    </xf>
    <xf numFmtId="166" fontId="6" fillId="8" borderId="2" xfId="0" applyNumberFormat="1" applyFont="1" applyFill="1" applyBorder="1" applyAlignment="1">
      <alignment horizontal="right" vertical="center"/>
    </xf>
    <xf numFmtId="2" fontId="6" fillId="0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165" fontId="6" fillId="8" borderId="2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3" xfId="0" applyFont="1" applyBorder="1" applyAlignment="1">
      <alignment vertical="center" wrapText="1"/>
    </xf>
    <xf numFmtId="166" fontId="9" fillId="5" borderId="2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63</xdr:row>
      <xdr:rowOff>0</xdr:rowOff>
    </xdr:from>
    <xdr:to>
      <xdr:col>14</xdr:col>
      <xdr:colOff>213360</xdr:colOff>
      <xdr:row>64</xdr:row>
      <xdr:rowOff>40005</xdr:rowOff>
    </xdr:to>
    <xdr:pic>
      <xdr:nvPicPr>
        <xdr:cNvPr id="3" name="Image 24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7200" y="15182850"/>
          <a:ext cx="5090160" cy="281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A62" workbookViewId="0">
      <selection activeCell="C77" sqref="C77"/>
    </sheetView>
  </sheetViews>
  <sheetFormatPr defaultRowHeight="14.5" x14ac:dyDescent="0.35"/>
  <cols>
    <col min="1" max="1" width="32" customWidth="1"/>
    <col min="2" max="2" width="14" customWidth="1"/>
    <col min="3" max="3" width="16" customWidth="1"/>
    <col min="4" max="4" width="12" customWidth="1"/>
    <col min="5" max="5" width="36" customWidth="1"/>
    <col min="6" max="6" width="42" customWidth="1"/>
  </cols>
  <sheetData>
    <row r="1" spans="1:6" ht="25" customHeight="1" x14ac:dyDescent="0.35">
      <c r="A1" s="28" t="s">
        <v>0</v>
      </c>
      <c r="B1" s="27"/>
      <c r="C1" s="27"/>
      <c r="D1" s="27"/>
      <c r="E1" s="27"/>
      <c r="F1" s="27"/>
    </row>
    <row r="2" spans="1:6" ht="18" customHeight="1" x14ac:dyDescent="0.35">
      <c r="A2" s="26" t="s">
        <v>1</v>
      </c>
      <c r="B2" s="27"/>
      <c r="C2" s="27"/>
      <c r="D2" s="27"/>
      <c r="E2" s="27"/>
      <c r="F2" s="27"/>
    </row>
    <row r="3" spans="1:6" ht="10" customHeight="1" x14ac:dyDescent="0.35"/>
    <row r="4" spans="1:6" ht="24" customHeight="1" x14ac:dyDescent="0.3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1" t="s">
        <v>7</v>
      </c>
    </row>
    <row r="5" spans="1:6" ht="20" customHeight="1" x14ac:dyDescent="0.35">
      <c r="A5" s="24" t="s">
        <v>8</v>
      </c>
      <c r="B5" s="25"/>
      <c r="C5" s="25"/>
      <c r="D5" s="25"/>
      <c r="E5" s="25"/>
      <c r="F5" s="25"/>
    </row>
    <row r="6" spans="1:6" ht="19" customHeight="1" x14ac:dyDescent="0.35">
      <c r="A6" s="3" t="s">
        <v>9</v>
      </c>
      <c r="B6" s="4" t="s">
        <v>10</v>
      </c>
      <c r="C6" s="5">
        <v>1</v>
      </c>
      <c r="D6" s="6" t="s">
        <v>11</v>
      </c>
      <c r="E6" s="7" t="s">
        <v>12</v>
      </c>
      <c r="F6" s="3" t="s">
        <v>13</v>
      </c>
    </row>
    <row r="7" spans="1:6" ht="19" customHeight="1" x14ac:dyDescent="0.35">
      <c r="A7" s="3" t="s">
        <v>14</v>
      </c>
      <c r="B7" s="4" t="s">
        <v>15</v>
      </c>
      <c r="C7" s="5">
        <v>652</v>
      </c>
      <c r="D7" s="6" t="s">
        <v>16</v>
      </c>
      <c r="E7" s="7" t="s">
        <v>12</v>
      </c>
      <c r="F7" s="3" t="s">
        <v>17</v>
      </c>
    </row>
    <row r="8" spans="1:6" ht="19" customHeight="1" x14ac:dyDescent="0.35">
      <c r="A8" s="3" t="s">
        <v>18</v>
      </c>
      <c r="B8" s="4" t="s">
        <v>19</v>
      </c>
      <c r="C8" s="5">
        <v>0</v>
      </c>
      <c r="D8" s="6" t="s">
        <v>20</v>
      </c>
      <c r="E8" s="7" t="s">
        <v>12</v>
      </c>
      <c r="F8" s="3" t="s">
        <v>21</v>
      </c>
    </row>
    <row r="9" spans="1:6" ht="19" customHeight="1" x14ac:dyDescent="0.35">
      <c r="A9" s="3" t="s">
        <v>22</v>
      </c>
      <c r="B9" s="4" t="s">
        <v>23</v>
      </c>
      <c r="C9" s="5">
        <v>5.0999999999999996</v>
      </c>
      <c r="D9" s="6" t="s">
        <v>24</v>
      </c>
      <c r="E9" s="7" t="s">
        <v>12</v>
      </c>
      <c r="F9" s="3" t="s">
        <v>25</v>
      </c>
    </row>
    <row r="10" spans="1:6" ht="19" customHeight="1" x14ac:dyDescent="0.35">
      <c r="A10" s="3" t="s">
        <v>26</v>
      </c>
      <c r="B10" s="4" t="s">
        <v>27</v>
      </c>
      <c r="C10" s="5">
        <v>1500</v>
      </c>
      <c r="D10" s="6" t="s">
        <v>28</v>
      </c>
      <c r="E10" s="7" t="s">
        <v>12</v>
      </c>
      <c r="F10" s="3" t="s">
        <v>29</v>
      </c>
    </row>
    <row r="11" spans="1:6" ht="19" customHeight="1" x14ac:dyDescent="0.35">
      <c r="A11" s="3" t="s">
        <v>30</v>
      </c>
      <c r="B11" s="4" t="s">
        <v>31</v>
      </c>
      <c r="C11" s="5">
        <v>200</v>
      </c>
      <c r="D11" s="6" t="s">
        <v>32</v>
      </c>
      <c r="E11" s="7" t="s">
        <v>12</v>
      </c>
      <c r="F11" s="3" t="s">
        <v>33</v>
      </c>
    </row>
    <row r="12" spans="1:6" ht="19" customHeight="1" x14ac:dyDescent="0.35">
      <c r="A12" s="3" t="s">
        <v>34</v>
      </c>
      <c r="B12" s="4" t="s">
        <v>35</v>
      </c>
      <c r="C12" s="5">
        <v>100</v>
      </c>
      <c r="D12" s="6" t="s">
        <v>32</v>
      </c>
      <c r="E12" s="7" t="s">
        <v>12</v>
      </c>
      <c r="F12" s="3" t="s">
        <v>36</v>
      </c>
    </row>
    <row r="13" spans="1:6" ht="19" customHeight="1" x14ac:dyDescent="0.35">
      <c r="A13" s="3" t="s">
        <v>37</v>
      </c>
      <c r="B13" s="4" t="s">
        <v>38</v>
      </c>
      <c r="C13" s="5">
        <v>15</v>
      </c>
      <c r="D13" s="6" t="s">
        <v>39</v>
      </c>
      <c r="E13" s="7" t="s">
        <v>12</v>
      </c>
      <c r="F13" s="3" t="s">
        <v>40</v>
      </c>
    </row>
    <row r="14" spans="1:6" ht="19" customHeight="1" x14ac:dyDescent="0.35">
      <c r="A14" s="3" t="s">
        <v>41</v>
      </c>
      <c r="B14" s="4" t="s">
        <v>42</v>
      </c>
      <c r="C14" s="8">
        <v>0.3</v>
      </c>
      <c r="D14" s="6" t="s">
        <v>32</v>
      </c>
      <c r="E14" s="7" t="s">
        <v>12</v>
      </c>
      <c r="F14" s="3" t="s">
        <v>43</v>
      </c>
    </row>
    <row r="15" spans="1:6" ht="19" customHeight="1" x14ac:dyDescent="0.35">
      <c r="A15" s="3" t="s">
        <v>44</v>
      </c>
      <c r="B15" s="4" t="s">
        <v>45</v>
      </c>
      <c r="C15" s="5">
        <v>125</v>
      </c>
      <c r="D15" s="6" t="s">
        <v>46</v>
      </c>
      <c r="E15" s="7" t="s">
        <v>12</v>
      </c>
      <c r="F15" s="3" t="s">
        <v>47</v>
      </c>
    </row>
    <row r="16" spans="1:6" ht="19" customHeight="1" x14ac:dyDescent="0.35">
      <c r="A16" s="3" t="s">
        <v>48</v>
      </c>
      <c r="B16" s="4" t="s">
        <v>49</v>
      </c>
      <c r="C16" s="8">
        <v>0.45</v>
      </c>
      <c r="D16" s="6" t="s">
        <v>32</v>
      </c>
      <c r="E16" s="7" t="s">
        <v>12</v>
      </c>
      <c r="F16" s="3" t="s">
        <v>50</v>
      </c>
    </row>
    <row r="17" spans="1:11" ht="19" customHeight="1" x14ac:dyDescent="0.35">
      <c r="A17" s="3" t="s">
        <v>51</v>
      </c>
      <c r="B17" s="4" t="s">
        <v>52</v>
      </c>
      <c r="C17" s="8">
        <v>0.2</v>
      </c>
      <c r="D17" s="6" t="s">
        <v>11</v>
      </c>
      <c r="E17" s="7" t="s">
        <v>12</v>
      </c>
      <c r="F17" s="3" t="s">
        <v>53</v>
      </c>
    </row>
    <row r="18" spans="1:11" ht="19" customHeight="1" x14ac:dyDescent="0.35">
      <c r="A18" s="3" t="s">
        <v>54</v>
      </c>
      <c r="B18" s="4" t="s">
        <v>55</v>
      </c>
      <c r="C18" s="8">
        <v>2.5</v>
      </c>
      <c r="D18" s="6" t="s">
        <v>56</v>
      </c>
      <c r="E18" s="7" t="s">
        <v>12</v>
      </c>
      <c r="F18" s="3" t="s">
        <v>57</v>
      </c>
    </row>
    <row r="19" spans="1:11" ht="19" customHeight="1" x14ac:dyDescent="0.35">
      <c r="A19" s="3" t="s">
        <v>58</v>
      </c>
      <c r="B19" s="4" t="s">
        <v>59</v>
      </c>
      <c r="C19" s="8">
        <v>12</v>
      </c>
      <c r="D19" s="6" t="s">
        <v>60</v>
      </c>
      <c r="E19" s="7" t="s">
        <v>12</v>
      </c>
      <c r="F19" s="3" t="s">
        <v>61</v>
      </c>
    </row>
    <row r="20" spans="1:11" ht="19" customHeight="1" x14ac:dyDescent="0.35">
      <c r="A20" s="3" t="s">
        <v>62</v>
      </c>
      <c r="B20" s="4" t="s">
        <v>63</v>
      </c>
      <c r="C20" s="9">
        <v>2700</v>
      </c>
      <c r="D20" s="6" t="s">
        <v>64</v>
      </c>
      <c r="E20" s="7" t="s">
        <v>12</v>
      </c>
      <c r="F20" s="3" t="s">
        <v>65</v>
      </c>
    </row>
    <row r="21" spans="1:11" ht="19" customHeight="1" x14ac:dyDescent="0.35">
      <c r="A21" s="3" t="s">
        <v>66</v>
      </c>
      <c r="B21" s="4" t="s">
        <v>67</v>
      </c>
      <c r="C21" s="8">
        <v>45.5</v>
      </c>
      <c r="D21" s="6" t="s">
        <v>68</v>
      </c>
      <c r="E21" s="7" t="s">
        <v>12</v>
      </c>
      <c r="F21" s="3" t="s">
        <v>69</v>
      </c>
    </row>
    <row r="22" spans="1:11" ht="19" customHeight="1" x14ac:dyDescent="0.35">
      <c r="A22" s="3" t="s">
        <v>70</v>
      </c>
      <c r="B22" s="4" t="s">
        <v>71</v>
      </c>
      <c r="C22" s="8">
        <v>1.42</v>
      </c>
      <c r="D22" s="6" t="s">
        <v>32</v>
      </c>
      <c r="E22" s="7" t="s">
        <v>12</v>
      </c>
      <c r="F22" s="3" t="s">
        <v>72</v>
      </c>
    </row>
    <row r="23" spans="1:11" ht="19" customHeight="1" x14ac:dyDescent="0.35">
      <c r="A23" s="3" t="s">
        <v>73</v>
      </c>
      <c r="B23" s="4" t="s">
        <v>74</v>
      </c>
      <c r="C23" s="16">
        <v>315</v>
      </c>
      <c r="D23" s="6" t="s">
        <v>46</v>
      </c>
      <c r="E23" s="7" t="s">
        <v>12</v>
      </c>
      <c r="F23" s="3" t="s">
        <v>75</v>
      </c>
    </row>
    <row r="24" spans="1:11" ht="19" customHeight="1" x14ac:dyDescent="0.35">
      <c r="A24" s="3" t="s">
        <v>76</v>
      </c>
      <c r="B24" s="4" t="s">
        <v>77</v>
      </c>
      <c r="C24" s="16">
        <v>440</v>
      </c>
      <c r="D24" s="6" t="s">
        <v>46</v>
      </c>
      <c r="E24" s="7" t="s">
        <v>12</v>
      </c>
      <c r="F24" s="3" t="s">
        <v>78</v>
      </c>
    </row>
    <row r="25" spans="1:11" ht="19" customHeight="1" x14ac:dyDescent="0.35">
      <c r="A25" s="3" t="s">
        <v>79</v>
      </c>
      <c r="B25" s="4" t="s">
        <v>80</v>
      </c>
      <c r="C25" s="16">
        <v>0.72</v>
      </c>
      <c r="D25" s="6" t="s">
        <v>32</v>
      </c>
      <c r="E25" s="7" t="s">
        <v>12</v>
      </c>
      <c r="F25" s="3" t="s">
        <v>81</v>
      </c>
    </row>
    <row r="26" spans="1:11" ht="19" customHeight="1" x14ac:dyDescent="0.35">
      <c r="A26" s="3" t="s">
        <v>82</v>
      </c>
      <c r="B26" s="4" t="s">
        <v>83</v>
      </c>
      <c r="C26" s="16">
        <v>0.59</v>
      </c>
      <c r="D26" s="6" t="s">
        <v>32</v>
      </c>
      <c r="E26" s="7" t="s">
        <v>12</v>
      </c>
      <c r="F26" s="3" t="s">
        <v>84</v>
      </c>
    </row>
    <row r="27" spans="1:11" ht="19" customHeight="1" x14ac:dyDescent="0.35">
      <c r="A27" s="3" t="s">
        <v>85</v>
      </c>
      <c r="B27" s="4" t="s">
        <v>86</v>
      </c>
      <c r="C27" s="8">
        <v>0.86</v>
      </c>
      <c r="D27" s="6" t="s">
        <v>87</v>
      </c>
      <c r="E27" s="7" t="s">
        <v>12</v>
      </c>
      <c r="F27" s="3" t="s">
        <v>88</v>
      </c>
    </row>
    <row r="28" spans="1:11" ht="19" customHeight="1" x14ac:dyDescent="0.35">
      <c r="A28" s="3" t="s">
        <v>89</v>
      </c>
      <c r="B28" s="4" t="s">
        <v>90</v>
      </c>
      <c r="C28" s="8">
        <v>0.2</v>
      </c>
      <c r="D28" s="6" t="s">
        <v>87</v>
      </c>
      <c r="E28" s="7" t="s">
        <v>12</v>
      </c>
      <c r="F28" s="3" t="s">
        <v>91</v>
      </c>
    </row>
    <row r="29" spans="1:11" ht="19" customHeight="1" x14ac:dyDescent="0.35">
      <c r="A29" s="18" t="s">
        <v>92</v>
      </c>
      <c r="B29" s="19" t="s">
        <v>93</v>
      </c>
      <c r="C29" s="16">
        <v>127</v>
      </c>
      <c r="D29" s="20" t="s">
        <v>32</v>
      </c>
      <c r="E29" s="7" t="s">
        <v>12</v>
      </c>
      <c r="F29" s="3" t="s">
        <v>94</v>
      </c>
      <c r="G29" s="17"/>
      <c r="I29" s="16"/>
      <c r="J29" s="16"/>
      <c r="K29" s="16"/>
    </row>
    <row r="30" spans="1:11" ht="19" customHeight="1" x14ac:dyDescent="0.35">
      <c r="A30" s="18" t="s">
        <v>95</v>
      </c>
      <c r="B30" s="19" t="s">
        <v>96</v>
      </c>
      <c r="C30" s="16">
        <v>237.74</v>
      </c>
      <c r="D30" s="20" t="s">
        <v>32</v>
      </c>
      <c r="E30" s="7" t="s">
        <v>12</v>
      </c>
      <c r="F30" s="3" t="s">
        <v>97</v>
      </c>
      <c r="G30" s="17"/>
      <c r="I30" s="16"/>
      <c r="J30" s="16"/>
      <c r="K30" s="16"/>
    </row>
    <row r="31" spans="1:11" s="15" customFormat="1" ht="19" customHeight="1" x14ac:dyDescent="0.35">
      <c r="A31" s="18" t="s">
        <v>277</v>
      </c>
      <c r="B31" s="19" t="s">
        <v>279</v>
      </c>
      <c r="C31" s="16">
        <v>245.01</v>
      </c>
      <c r="D31" s="20" t="s">
        <v>32</v>
      </c>
      <c r="E31" s="7" t="s">
        <v>12</v>
      </c>
      <c r="F31" s="3" t="s">
        <v>106</v>
      </c>
      <c r="G31" s="17"/>
      <c r="I31" s="16"/>
      <c r="J31" s="16"/>
      <c r="K31" s="16"/>
    </row>
    <row r="32" spans="1:11" s="15" customFormat="1" ht="19" customHeight="1" x14ac:dyDescent="0.35">
      <c r="A32" s="18" t="s">
        <v>278</v>
      </c>
      <c r="B32" s="19" t="s">
        <v>280</v>
      </c>
      <c r="C32" s="16">
        <v>789.43</v>
      </c>
      <c r="D32" s="20" t="s">
        <v>32</v>
      </c>
      <c r="E32" s="7" t="s">
        <v>12</v>
      </c>
      <c r="F32" s="3" t="s">
        <v>109</v>
      </c>
      <c r="G32" s="17"/>
      <c r="I32" s="16"/>
      <c r="J32" s="16"/>
      <c r="K32" s="16"/>
    </row>
    <row r="33" spans="1:11" s="15" customFormat="1" ht="19" customHeight="1" x14ac:dyDescent="0.35">
      <c r="A33" s="18"/>
      <c r="B33" s="19"/>
      <c r="D33" s="20"/>
      <c r="E33" s="7"/>
      <c r="F33" s="3"/>
      <c r="G33" s="17"/>
      <c r="I33" s="16"/>
      <c r="J33" s="16"/>
      <c r="K33" s="16"/>
    </row>
    <row r="34" spans="1:11" ht="19" customHeight="1" x14ac:dyDescent="0.35">
      <c r="A34" s="18" t="s">
        <v>98</v>
      </c>
      <c r="B34" s="19" t="s">
        <v>99</v>
      </c>
      <c r="C34" s="16">
        <v>203.2</v>
      </c>
      <c r="D34" s="20" t="s">
        <v>32</v>
      </c>
      <c r="E34" s="7" t="s">
        <v>12</v>
      </c>
      <c r="F34" s="3" t="s">
        <v>100</v>
      </c>
      <c r="G34" s="17"/>
      <c r="I34" s="16"/>
      <c r="J34" s="16"/>
      <c r="K34" s="16"/>
    </row>
    <row r="35" spans="1:11" ht="19" customHeight="1" x14ac:dyDescent="0.35">
      <c r="A35" s="18" t="s">
        <v>101</v>
      </c>
      <c r="B35" s="19" t="s">
        <v>102</v>
      </c>
      <c r="C35" s="16">
        <v>364.24</v>
      </c>
      <c r="D35" s="20" t="s">
        <v>32</v>
      </c>
      <c r="E35" s="7" t="s">
        <v>12</v>
      </c>
      <c r="F35" s="3" t="s">
        <v>103</v>
      </c>
      <c r="G35" s="17"/>
      <c r="I35" s="16"/>
      <c r="J35" s="16"/>
      <c r="K35" s="16"/>
    </row>
    <row r="36" spans="1:11" ht="19" customHeight="1" x14ac:dyDescent="0.35">
      <c r="A36" s="18" t="s">
        <v>104</v>
      </c>
      <c r="B36" s="19" t="s">
        <v>105</v>
      </c>
      <c r="C36" s="16">
        <v>375.85</v>
      </c>
      <c r="D36" s="20" t="s">
        <v>32</v>
      </c>
      <c r="E36" s="7" t="s">
        <v>12</v>
      </c>
      <c r="F36" s="3" t="s">
        <v>106</v>
      </c>
      <c r="G36" s="17"/>
      <c r="I36" s="16"/>
      <c r="J36" s="16"/>
      <c r="K36" s="16"/>
    </row>
    <row r="37" spans="1:11" ht="19" customHeight="1" x14ac:dyDescent="0.35">
      <c r="A37" s="18" t="s">
        <v>107</v>
      </c>
      <c r="B37" s="19" t="s">
        <v>108</v>
      </c>
      <c r="C37" s="23">
        <v>0.36399999999999999</v>
      </c>
      <c r="D37" s="20" t="s">
        <v>32</v>
      </c>
      <c r="E37" s="7" t="s">
        <v>12</v>
      </c>
      <c r="F37" s="3" t="s">
        <v>109</v>
      </c>
      <c r="G37" s="17"/>
    </row>
    <row r="39" spans="1:11" ht="20" customHeight="1" x14ac:dyDescent="0.35">
      <c r="A39" s="24" t="s">
        <v>110</v>
      </c>
      <c r="B39" s="25"/>
      <c r="C39" s="25"/>
      <c r="D39" s="25"/>
      <c r="E39" s="25"/>
      <c r="F39" s="25"/>
    </row>
    <row r="40" spans="1:11" ht="19" customHeight="1" x14ac:dyDescent="0.35">
      <c r="A40" s="3" t="s">
        <v>111</v>
      </c>
      <c r="B40" s="4" t="s">
        <v>112</v>
      </c>
      <c r="C40" s="10">
        <f>9.81</f>
        <v>9.81</v>
      </c>
      <c r="D40" s="6" t="s">
        <v>113</v>
      </c>
      <c r="E40" s="7" t="s">
        <v>114</v>
      </c>
      <c r="F40" s="3" t="s">
        <v>115</v>
      </c>
    </row>
    <row r="41" spans="1:11" ht="19" customHeight="1" x14ac:dyDescent="0.35">
      <c r="A41" s="3" t="s">
        <v>116</v>
      </c>
      <c r="B41" s="4" t="s">
        <v>117</v>
      </c>
      <c r="C41" s="10">
        <f>C15*C40</f>
        <v>1226.25</v>
      </c>
      <c r="D41" s="6" t="s">
        <v>118</v>
      </c>
      <c r="E41" s="7" t="s">
        <v>119</v>
      </c>
      <c r="F41" s="3" t="s">
        <v>120</v>
      </c>
    </row>
    <row r="42" spans="1:11" ht="19" customHeight="1" x14ac:dyDescent="0.35">
      <c r="A42" s="3" t="s">
        <v>121</v>
      </c>
      <c r="B42" s="4" t="s">
        <v>122</v>
      </c>
      <c r="C42" s="10">
        <f>(C23+C24)*C40</f>
        <v>7406.55</v>
      </c>
      <c r="D42" s="6" t="s">
        <v>118</v>
      </c>
      <c r="E42" s="7" t="s">
        <v>123</v>
      </c>
      <c r="F42" s="3" t="s">
        <v>124</v>
      </c>
    </row>
    <row r="43" spans="1:11" ht="19" customHeight="1" x14ac:dyDescent="0.35">
      <c r="A43" s="3" t="s">
        <v>125</v>
      </c>
      <c r="B43" s="4" t="s">
        <v>126</v>
      </c>
      <c r="C43" s="10">
        <f>C6*(C7+C8*C18+C9*(C18^2))*C14*(C13)</f>
        <v>3077.4375</v>
      </c>
      <c r="D43" s="6" t="s">
        <v>118</v>
      </c>
      <c r="E43" s="7" t="s">
        <v>127</v>
      </c>
      <c r="F43" s="3" t="s">
        <v>128</v>
      </c>
    </row>
    <row r="44" spans="1:11" ht="19" customHeight="1" x14ac:dyDescent="0.35">
      <c r="A44" s="3" t="s">
        <v>129</v>
      </c>
      <c r="B44" s="4" t="s">
        <v>130</v>
      </c>
      <c r="C44" s="10">
        <f>C17*C43</f>
        <v>615.48750000000007</v>
      </c>
      <c r="D44" s="6" t="s">
        <v>118</v>
      </c>
      <c r="E44" s="7" t="s">
        <v>131</v>
      </c>
      <c r="F44" s="3" t="s">
        <v>132</v>
      </c>
    </row>
    <row r="45" spans="1:11" ht="19" customHeight="1" x14ac:dyDescent="0.35">
      <c r="A45" s="3" t="s">
        <v>133</v>
      </c>
      <c r="B45" s="4" t="s">
        <v>134</v>
      </c>
      <c r="C45" s="11">
        <f>(2/3)*(C13/100)</f>
        <v>9.9999999999999992E-2</v>
      </c>
      <c r="D45" s="6" t="s">
        <v>32</v>
      </c>
      <c r="E45" s="7" t="s">
        <v>135</v>
      </c>
      <c r="F45" s="3" t="s">
        <v>136</v>
      </c>
    </row>
    <row r="46" spans="1:11" ht="19" customHeight="1" x14ac:dyDescent="0.35">
      <c r="A46" s="3" t="s">
        <v>137</v>
      </c>
      <c r="B46" s="19" t="s">
        <v>138</v>
      </c>
      <c r="C46" s="22">
        <f>0.1*C32</f>
        <v>78.942999999999998</v>
      </c>
      <c r="D46" s="6" t="s">
        <v>32</v>
      </c>
      <c r="E46" s="7" t="s">
        <v>139</v>
      </c>
      <c r="F46" s="3" t="s">
        <v>140</v>
      </c>
    </row>
    <row r="47" spans="1:11" ht="19" customHeight="1" x14ac:dyDescent="0.35">
      <c r="A47" s="3" t="s">
        <v>141</v>
      </c>
      <c r="B47" s="19" t="s">
        <v>142</v>
      </c>
      <c r="C47" s="22">
        <f>0.1*C37</f>
        <v>3.6400000000000002E-2</v>
      </c>
      <c r="D47" s="6" t="s">
        <v>32</v>
      </c>
      <c r="E47" s="7" t="s">
        <v>143</v>
      </c>
      <c r="F47" s="3" t="s">
        <v>144</v>
      </c>
    </row>
    <row r="48" spans="1:11" ht="19" customHeight="1" x14ac:dyDescent="0.35">
      <c r="A48" s="3" t="s">
        <v>145</v>
      </c>
      <c r="B48" s="19" t="s">
        <v>146</v>
      </c>
      <c r="C48">
        <f>(((C41+C44)*(C16+C25+C22+C46))+(C42*(C22+C46-C26))-(C43*C45))/(C22+C46-C47)</f>
        <v>9221.0718863676539</v>
      </c>
      <c r="D48" s="6" t="s">
        <v>118</v>
      </c>
      <c r="E48" s="7" t="s">
        <v>147</v>
      </c>
      <c r="F48" s="3" t="s">
        <v>148</v>
      </c>
    </row>
    <row r="49" spans="1:7" ht="19" customHeight="1" x14ac:dyDescent="0.35">
      <c r="A49" s="3" t="s">
        <v>149</v>
      </c>
      <c r="B49" s="19" t="s">
        <v>150</v>
      </c>
      <c r="C49" s="21">
        <f>(C41+C42+C44)-C48</f>
        <v>27.215613632344684</v>
      </c>
      <c r="D49" s="6" t="s">
        <v>118</v>
      </c>
      <c r="E49" s="7" t="s">
        <v>151</v>
      </c>
      <c r="F49" s="3" t="s">
        <v>152</v>
      </c>
    </row>
    <row r="50" spans="1:7" ht="19" customHeight="1" x14ac:dyDescent="0.35">
      <c r="A50" s="3" t="s">
        <v>153</v>
      </c>
      <c r="B50" s="19" t="s">
        <v>154</v>
      </c>
      <c r="C50" s="29">
        <f>(C48/2)/1000</f>
        <v>4.6105359431838266</v>
      </c>
      <c r="D50" s="6" t="s">
        <v>155</v>
      </c>
      <c r="E50" s="7" t="s">
        <v>156</v>
      </c>
      <c r="F50" s="3" t="s">
        <v>157</v>
      </c>
    </row>
    <row r="51" spans="1:7" ht="19" customHeight="1" x14ac:dyDescent="0.35">
      <c r="A51" s="3" t="s">
        <v>158</v>
      </c>
      <c r="B51" s="19" t="s">
        <v>159</v>
      </c>
      <c r="C51" s="29">
        <f>(C49/2)/1000</f>
        <v>1.3607806816172342E-2</v>
      </c>
      <c r="D51" s="6" t="s">
        <v>155</v>
      </c>
      <c r="E51" s="7" t="s">
        <v>160</v>
      </c>
      <c r="F51" s="3" t="s">
        <v>161</v>
      </c>
    </row>
    <row r="52" spans="1:7" ht="19" customHeight="1" x14ac:dyDescent="0.35">
      <c r="A52" s="3" t="s">
        <v>162</v>
      </c>
      <c r="B52" s="19" t="s">
        <v>163</v>
      </c>
      <c r="C52" s="21">
        <f>(C10*C36*C35)/C50</f>
        <v>44539161.722312704</v>
      </c>
      <c r="D52" s="6" t="s">
        <v>11</v>
      </c>
      <c r="E52" s="7" t="s">
        <v>164</v>
      </c>
      <c r="F52" s="3" t="s">
        <v>165</v>
      </c>
    </row>
    <row r="53" spans="1:7" ht="19" customHeight="1" x14ac:dyDescent="0.35">
      <c r="A53" s="3" t="s">
        <v>166</v>
      </c>
      <c r="B53" s="19" t="s">
        <v>167</v>
      </c>
      <c r="C53" s="21">
        <f>(C10*C30*C29)/C51</f>
        <v>3328197600.9664726</v>
      </c>
      <c r="D53" s="6" t="s">
        <v>11</v>
      </c>
      <c r="E53" s="7" t="s">
        <v>168</v>
      </c>
      <c r="F53" s="3" t="s">
        <v>169</v>
      </c>
    </row>
    <row r="54" spans="1:7" ht="19" customHeight="1" x14ac:dyDescent="0.35">
      <c r="A54" s="3" t="s">
        <v>170</v>
      </c>
      <c r="B54" s="4" t="s">
        <v>171</v>
      </c>
      <c r="C54" s="12">
        <f>(1/C53)+0.04</f>
        <v>4.0000000300462933E-2</v>
      </c>
      <c r="D54" s="6" t="s">
        <v>11</v>
      </c>
      <c r="E54" s="7" t="s">
        <v>172</v>
      </c>
      <c r="F54" s="3" t="s">
        <v>173</v>
      </c>
    </row>
    <row r="55" spans="1:7" ht="19" customHeight="1" x14ac:dyDescent="0.35">
      <c r="A55" s="3" t="s">
        <v>174</v>
      </c>
      <c r="B55" s="4" t="s">
        <v>175</v>
      </c>
      <c r="C55" s="33">
        <f>0.02</f>
        <v>0.02</v>
      </c>
      <c r="D55" s="34" t="s">
        <v>87</v>
      </c>
      <c r="E55" s="35" t="s">
        <v>176</v>
      </c>
      <c r="F55" s="3" t="s">
        <v>177</v>
      </c>
    </row>
    <row r="56" spans="1:7" ht="19" customHeight="1" x14ac:dyDescent="0.35">
      <c r="A56" s="3" t="s">
        <v>178</v>
      </c>
      <c r="B56" s="4" t="s">
        <v>179</v>
      </c>
      <c r="C56" s="12">
        <f>(1/C52)+0.04+(0.5*C55)/(SQRT(C52))</f>
        <v>4.0001520856347499E-2</v>
      </c>
      <c r="D56" s="6" t="s">
        <v>11</v>
      </c>
      <c r="E56" s="7" t="s">
        <v>180</v>
      </c>
      <c r="F56" s="3" t="s">
        <v>181</v>
      </c>
    </row>
    <row r="57" spans="1:7" ht="19" customHeight="1" x14ac:dyDescent="0.35">
      <c r="A57" s="3" t="s">
        <v>182</v>
      </c>
      <c r="B57" s="4" t="s">
        <v>183</v>
      </c>
      <c r="C57" s="12">
        <f>0.88*(1-EXP(-0.1*C52))</f>
        <v>0.88</v>
      </c>
      <c r="D57" s="6" t="s">
        <v>11</v>
      </c>
      <c r="E57" s="7" t="s">
        <v>184</v>
      </c>
      <c r="F57" s="3" t="s">
        <v>185</v>
      </c>
    </row>
    <row r="58" spans="1:7" ht="19" customHeight="1" x14ac:dyDescent="0.35">
      <c r="A58" s="3" t="s">
        <v>186</v>
      </c>
      <c r="B58" s="4" t="s">
        <v>187</v>
      </c>
      <c r="C58" s="12">
        <f>C57*(1-EXP(-7.5*C55))-(1/C52)-(0.5*C55)/(SQRT(C52))</f>
        <v>0.12257545988960164</v>
      </c>
      <c r="D58" s="6" t="s">
        <v>11</v>
      </c>
      <c r="E58" s="7" t="s">
        <v>188</v>
      </c>
      <c r="F58" s="3" t="s">
        <v>189</v>
      </c>
      <c r="G58" s="16">
        <f>(0.203*SQRT((738*0.5943)+173))</f>
        <v>5.0202741379928648</v>
      </c>
    </row>
    <row r="59" spans="1:7" ht="19" customHeight="1" x14ac:dyDescent="0.35">
      <c r="A59" s="3" t="s">
        <v>190</v>
      </c>
      <c r="B59" s="4" t="s">
        <v>191</v>
      </c>
      <c r="C59" s="12">
        <f>(C58*(1-C55))/C57</f>
        <v>0.13650448942251092</v>
      </c>
      <c r="D59" s="6" t="s">
        <v>87</v>
      </c>
      <c r="E59" s="7" t="s">
        <v>192</v>
      </c>
      <c r="F59" s="3" t="s">
        <v>193</v>
      </c>
    </row>
    <row r="60" spans="1:7" ht="19" customHeight="1" x14ac:dyDescent="0.35">
      <c r="A60" s="3" t="s">
        <v>194</v>
      </c>
      <c r="B60" s="4" t="s">
        <v>195</v>
      </c>
      <c r="C60" s="11">
        <f>(C43*(C18/3.6))/1000</f>
        <v>2.1371093750000001</v>
      </c>
      <c r="D60" s="6" t="s">
        <v>60</v>
      </c>
      <c r="E60" s="7" t="s">
        <v>196</v>
      </c>
      <c r="F60" s="3" t="s">
        <v>197</v>
      </c>
    </row>
    <row r="61" spans="1:7" ht="19" customHeight="1" x14ac:dyDescent="0.35">
      <c r="A61" s="3" t="s">
        <v>198</v>
      </c>
      <c r="B61" s="4" t="s">
        <v>199</v>
      </c>
      <c r="C61" s="11">
        <f>C60/(C59*C27)</f>
        <v>18.204609325859934</v>
      </c>
      <c r="D61" s="6" t="s">
        <v>60</v>
      </c>
      <c r="E61" s="7" t="s">
        <v>200</v>
      </c>
      <c r="F61" s="3" t="s">
        <v>201</v>
      </c>
    </row>
    <row r="62" spans="1:7" ht="19" customHeight="1" x14ac:dyDescent="0.35">
      <c r="A62" s="3" t="s">
        <v>202</v>
      </c>
      <c r="B62" s="4" t="s">
        <v>203</v>
      </c>
      <c r="C62" s="13">
        <f>(C61/(C19*(1-C28)))*100</f>
        <v>189.63134714437427</v>
      </c>
      <c r="D62" s="6" t="s">
        <v>204</v>
      </c>
      <c r="E62" s="7" t="s">
        <v>205</v>
      </c>
      <c r="F62" s="3" t="s">
        <v>206</v>
      </c>
    </row>
    <row r="63" spans="1:7" ht="19" customHeight="1" x14ac:dyDescent="0.35">
      <c r="A63" s="3" t="s">
        <v>207</v>
      </c>
      <c r="B63" s="4" t="s">
        <v>208</v>
      </c>
      <c r="C63" s="12">
        <f>C61/C19</f>
        <v>1.5170507771549946</v>
      </c>
      <c r="D63" s="6" t="s">
        <v>87</v>
      </c>
      <c r="E63" s="7" t="s">
        <v>209</v>
      </c>
      <c r="F63" s="3" t="s">
        <v>210</v>
      </c>
    </row>
    <row r="64" spans="1:7" ht="19" customHeight="1" x14ac:dyDescent="0.35">
      <c r="A64" s="3" t="s">
        <v>211</v>
      </c>
      <c r="B64" s="4" t="s">
        <v>212</v>
      </c>
      <c r="C64" s="29">
        <f>(2.64*C63)+3.91-(0.203*SQRT((738*C63)+173))</f>
        <v>0.61665311507295328</v>
      </c>
      <c r="D64" s="6" t="s">
        <v>213</v>
      </c>
      <c r="E64" s="7" t="s">
        <v>214</v>
      </c>
      <c r="F64" s="3" t="s">
        <v>215</v>
      </c>
    </row>
    <row r="65" spans="1:6" ht="19" customHeight="1" x14ac:dyDescent="0.35">
      <c r="A65" s="3" t="s">
        <v>216</v>
      </c>
      <c r="B65" s="4" t="s">
        <v>217</v>
      </c>
      <c r="C65" s="11">
        <f>C64*C60</f>
        <v>1.3178551533453624</v>
      </c>
      <c r="D65" s="6" t="s">
        <v>218</v>
      </c>
      <c r="E65" s="7" t="s">
        <v>348</v>
      </c>
      <c r="F65" s="3" t="s">
        <v>219</v>
      </c>
    </row>
    <row r="66" spans="1:6" ht="19" customHeight="1" x14ac:dyDescent="0.35">
      <c r="A66" s="3" t="s">
        <v>220</v>
      </c>
      <c r="B66" s="4" t="s">
        <v>221</v>
      </c>
      <c r="C66" s="11">
        <f>(C18*C14)/10</f>
        <v>7.4999999999999997E-2</v>
      </c>
      <c r="D66" s="6" t="s">
        <v>222</v>
      </c>
      <c r="E66" s="7" t="s">
        <v>223</v>
      </c>
      <c r="F66" s="3" t="s">
        <v>224</v>
      </c>
    </row>
    <row r="67" spans="1:6" ht="19" customHeight="1" x14ac:dyDescent="0.35">
      <c r="A67" s="3" t="s">
        <v>225</v>
      </c>
      <c r="B67" s="4" t="s">
        <v>226</v>
      </c>
      <c r="C67" s="10">
        <f>15.56+2.61*(C14/C18)-1.41*C18</f>
        <v>12.3482</v>
      </c>
      <c r="D67" s="6" t="s">
        <v>175</v>
      </c>
      <c r="E67" s="7" t="s">
        <v>227</v>
      </c>
      <c r="F67" s="3" t="s">
        <v>228</v>
      </c>
    </row>
    <row r="68" spans="1:6" ht="19" customHeight="1" x14ac:dyDescent="0.35">
      <c r="A68" s="3" t="s">
        <v>229</v>
      </c>
      <c r="B68" s="4" t="s">
        <v>230</v>
      </c>
      <c r="C68" s="14">
        <f>ROUND(C12/C14, 0)</f>
        <v>333</v>
      </c>
      <c r="D68" s="6" t="s">
        <v>231</v>
      </c>
      <c r="E68" s="7" t="s">
        <v>232</v>
      </c>
      <c r="F68" s="3" t="s">
        <v>233</v>
      </c>
    </row>
    <row r="69" spans="1:6" ht="19" customHeight="1" x14ac:dyDescent="0.35">
      <c r="A69" s="3" t="s">
        <v>234</v>
      </c>
      <c r="B69" s="4" t="s">
        <v>235</v>
      </c>
      <c r="C69" s="10">
        <f>(C11*C12)/10000</f>
        <v>2</v>
      </c>
      <c r="D69" s="6" t="s">
        <v>236</v>
      </c>
      <c r="E69" s="7" t="s">
        <v>237</v>
      </c>
      <c r="F69" s="3" t="s">
        <v>238</v>
      </c>
    </row>
    <row r="70" spans="1:6" ht="19" customHeight="1" x14ac:dyDescent="0.35">
      <c r="A70" s="3" t="s">
        <v>239</v>
      </c>
      <c r="B70" s="4" t="s">
        <v>240</v>
      </c>
      <c r="C70" s="11">
        <f>C69/C66</f>
        <v>26.666666666666668</v>
      </c>
      <c r="D70" s="6" t="s">
        <v>241</v>
      </c>
      <c r="E70" s="7" t="s">
        <v>242</v>
      </c>
      <c r="F70" s="3" t="s">
        <v>243</v>
      </c>
    </row>
    <row r="71" spans="1:6" ht="19" customHeight="1" x14ac:dyDescent="0.35">
      <c r="A71" s="3" t="s">
        <v>244</v>
      </c>
      <c r="B71" s="4" t="s">
        <v>245</v>
      </c>
      <c r="C71" s="11">
        <f>(C68*C67)/3600</f>
        <v>1.1422085</v>
      </c>
      <c r="D71" s="6" t="s">
        <v>241</v>
      </c>
      <c r="E71" s="7" t="s">
        <v>246</v>
      </c>
      <c r="F71" s="3" t="s">
        <v>247</v>
      </c>
    </row>
    <row r="72" spans="1:6" ht="19" customHeight="1" x14ac:dyDescent="0.35">
      <c r="A72" s="3" t="s">
        <v>248</v>
      </c>
      <c r="B72" s="4" t="s">
        <v>249</v>
      </c>
      <c r="C72" s="11">
        <f>C69/(C70+C71)</f>
        <v>7.1919485704237188E-2</v>
      </c>
      <c r="D72" s="6" t="s">
        <v>222</v>
      </c>
      <c r="E72" s="7" t="s">
        <v>250</v>
      </c>
      <c r="F72" s="3" t="s">
        <v>251</v>
      </c>
    </row>
    <row r="73" spans="1:6" ht="19" customHeight="1" x14ac:dyDescent="0.35">
      <c r="A73" s="3" t="s">
        <v>252</v>
      </c>
      <c r="B73" s="4" t="s">
        <v>253</v>
      </c>
      <c r="C73" s="30">
        <f>MIN(MAX((C72/C66)*100, 50), 95)</f>
        <v>95</v>
      </c>
      <c r="D73" s="6" t="s">
        <v>204</v>
      </c>
      <c r="E73" s="7" t="s">
        <v>254</v>
      </c>
      <c r="F73" s="3" t="s">
        <v>255</v>
      </c>
    </row>
    <row r="74" spans="1:6" ht="19" customHeight="1" x14ac:dyDescent="0.35">
      <c r="A74" s="3" t="s">
        <v>256</v>
      </c>
      <c r="B74" s="4" t="s">
        <v>257</v>
      </c>
      <c r="C74" s="11">
        <f>C69/C72</f>
        <v>27.808875166666667</v>
      </c>
      <c r="D74" s="6" t="s">
        <v>241</v>
      </c>
      <c r="E74" s="7" t="s">
        <v>258</v>
      </c>
      <c r="F74" s="3" t="s">
        <v>259</v>
      </c>
    </row>
    <row r="75" spans="1:6" ht="19" customHeight="1" x14ac:dyDescent="0.35">
      <c r="A75" s="3" t="s">
        <v>260</v>
      </c>
      <c r="B75" s="4" t="s">
        <v>261</v>
      </c>
      <c r="C75" s="21">
        <f>C65/C72</f>
        <v>18.324034723564772</v>
      </c>
      <c r="D75" s="6" t="s">
        <v>262</v>
      </c>
      <c r="E75" s="7" t="s">
        <v>263</v>
      </c>
      <c r="F75" s="3" t="s">
        <v>264</v>
      </c>
    </row>
    <row r="76" spans="1:6" ht="19" customHeight="1" x14ac:dyDescent="0.35">
      <c r="A76" s="3" t="s">
        <v>265</v>
      </c>
      <c r="B76" s="4" t="s">
        <v>266</v>
      </c>
      <c r="C76" s="10">
        <f>((C60*3600/1000)/(C66*C75*35.5))*100</f>
        <v>15.769521940166845</v>
      </c>
      <c r="D76" s="6" t="s">
        <v>204</v>
      </c>
      <c r="E76" s="7" t="s">
        <v>267</v>
      </c>
      <c r="F76" s="3" t="s">
        <v>268</v>
      </c>
    </row>
    <row r="77" spans="1:6" ht="19" customHeight="1" x14ac:dyDescent="0.35">
      <c r="A77" s="3" t="s">
        <v>269</v>
      </c>
      <c r="B77" s="4" t="s">
        <v>270</v>
      </c>
      <c r="C77" s="11">
        <f>C49/(C48+C49)</f>
        <v>2.9427733115287222E-3</v>
      </c>
      <c r="D77" s="6" t="s">
        <v>11</v>
      </c>
      <c r="E77" s="7" t="s">
        <v>271</v>
      </c>
      <c r="F77" s="3" t="s">
        <v>272</v>
      </c>
    </row>
    <row r="78" spans="1:6" ht="19" customHeight="1" x14ac:dyDescent="0.35">
      <c r="A78" s="3" t="s">
        <v>273</v>
      </c>
      <c r="B78" s="4" t="s">
        <v>274</v>
      </c>
      <c r="C78" s="10">
        <f>0</f>
        <v>0</v>
      </c>
      <c r="D78" s="6" t="s">
        <v>46</v>
      </c>
      <c r="E78" s="7" t="s">
        <v>275</v>
      </c>
      <c r="F78" s="3" t="s">
        <v>276</v>
      </c>
    </row>
    <row r="81" spans="3:3" x14ac:dyDescent="0.35">
      <c r="C81" s="30"/>
    </row>
  </sheetData>
  <mergeCells count="4">
    <mergeCell ref="A39:F39"/>
    <mergeCell ref="A2:F2"/>
    <mergeCell ref="A1:F1"/>
    <mergeCell ref="A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N53"/>
  <sheetViews>
    <sheetView topLeftCell="J11" workbookViewId="0">
      <selection activeCell="U21" sqref="U21:W44"/>
    </sheetView>
  </sheetViews>
  <sheetFormatPr defaultRowHeight="14.5" x14ac:dyDescent="0.35"/>
  <cols>
    <col min="2" max="2" width="24.36328125" customWidth="1"/>
    <col min="3" max="3" width="24.36328125" style="15" customWidth="1"/>
    <col min="5" max="5" width="8.7265625" style="16"/>
    <col min="6" max="6" width="17.36328125" customWidth="1"/>
    <col min="7" max="7" width="19.36328125" customWidth="1"/>
    <col min="8" max="8" width="22.54296875" customWidth="1"/>
    <col min="9" max="9" width="18.6328125" customWidth="1"/>
    <col min="10" max="10" width="12.08984375" customWidth="1"/>
    <col min="11" max="12" width="13" customWidth="1"/>
  </cols>
  <sheetData>
    <row r="5" spans="2:15" x14ac:dyDescent="0.35">
      <c r="E5" s="16" t="s">
        <v>354</v>
      </c>
      <c r="F5" t="s">
        <v>281</v>
      </c>
      <c r="G5" s="15" t="s">
        <v>288</v>
      </c>
      <c r="H5" s="15" t="s">
        <v>289</v>
      </c>
      <c r="I5" s="15" t="s">
        <v>290</v>
      </c>
      <c r="J5" t="s">
        <v>291</v>
      </c>
      <c r="K5" s="15" t="s">
        <v>292</v>
      </c>
      <c r="L5" s="15" t="s">
        <v>293</v>
      </c>
      <c r="M5" t="s">
        <v>294</v>
      </c>
      <c r="N5" s="15" t="s">
        <v>295</v>
      </c>
      <c r="O5" s="15" t="s">
        <v>296</v>
      </c>
    </row>
    <row r="6" spans="2:15" x14ac:dyDescent="0.35">
      <c r="H6" s="15"/>
      <c r="I6" s="15"/>
      <c r="L6" s="15"/>
      <c r="N6" s="15"/>
      <c r="O6" s="15"/>
    </row>
    <row r="7" spans="2:15" x14ac:dyDescent="0.35">
      <c r="B7" t="s">
        <v>282</v>
      </c>
      <c r="C7" t="s">
        <v>42</v>
      </c>
      <c r="D7" t="s">
        <v>32</v>
      </c>
      <c r="E7" s="16">
        <v>0.3</v>
      </c>
      <c r="F7">
        <v>0.6</v>
      </c>
      <c r="G7">
        <v>1.08</v>
      </c>
      <c r="H7" s="15">
        <v>0.45</v>
      </c>
      <c r="I7" s="15">
        <v>0.75</v>
      </c>
      <c r="J7">
        <v>1.25</v>
      </c>
      <c r="K7">
        <v>1.4</v>
      </c>
      <c r="L7" s="15">
        <v>1.55</v>
      </c>
      <c r="M7">
        <v>2.2000000000000002</v>
      </c>
      <c r="N7" s="15">
        <v>2.66</v>
      </c>
      <c r="O7" s="15">
        <v>3.13</v>
      </c>
    </row>
    <row r="8" spans="2:15" x14ac:dyDescent="0.35">
      <c r="B8" t="s">
        <v>283</v>
      </c>
      <c r="C8" s="15" t="s">
        <v>117</v>
      </c>
      <c r="D8" t="s">
        <v>46</v>
      </c>
      <c r="E8" s="16">
        <v>125</v>
      </c>
      <c r="F8">
        <v>225</v>
      </c>
      <c r="G8">
        <v>350</v>
      </c>
      <c r="H8" s="15">
        <v>150</v>
      </c>
      <c r="I8" s="15">
        <v>260</v>
      </c>
      <c r="J8">
        <v>200</v>
      </c>
      <c r="K8">
        <v>260</v>
      </c>
      <c r="L8" s="15">
        <v>280</v>
      </c>
      <c r="M8">
        <v>180</v>
      </c>
      <c r="N8" s="15">
        <v>230</v>
      </c>
      <c r="O8" s="15">
        <v>280</v>
      </c>
    </row>
    <row r="9" spans="2:15" x14ac:dyDescent="0.35">
      <c r="B9" t="s">
        <v>284</v>
      </c>
      <c r="C9" s="15" t="s">
        <v>49</v>
      </c>
      <c r="D9" t="s">
        <v>32</v>
      </c>
      <c r="E9" s="16">
        <v>0.45</v>
      </c>
      <c r="F9">
        <v>0.55000000000000004</v>
      </c>
      <c r="G9">
        <v>0.7</v>
      </c>
      <c r="H9" s="15">
        <v>0.5</v>
      </c>
      <c r="I9" s="15">
        <v>0.65</v>
      </c>
      <c r="J9">
        <v>0.65</v>
      </c>
      <c r="K9">
        <v>0.65</v>
      </c>
      <c r="L9" s="15">
        <v>0.65</v>
      </c>
      <c r="M9">
        <v>0.46</v>
      </c>
      <c r="N9" s="15">
        <v>0.46</v>
      </c>
      <c r="O9" s="15">
        <v>0.46</v>
      </c>
    </row>
    <row r="10" spans="2:15" x14ac:dyDescent="0.35">
      <c r="B10" t="s">
        <v>285</v>
      </c>
      <c r="C10" s="15" t="s">
        <v>286</v>
      </c>
      <c r="E10" s="16">
        <v>0.2</v>
      </c>
      <c r="F10">
        <v>0.2</v>
      </c>
      <c r="G10">
        <v>0.2</v>
      </c>
      <c r="H10" s="15">
        <v>0</v>
      </c>
      <c r="I10" s="15">
        <v>0</v>
      </c>
      <c r="J10">
        <v>0</v>
      </c>
      <c r="K10">
        <v>0</v>
      </c>
      <c r="L10" s="15">
        <v>0</v>
      </c>
      <c r="M10">
        <v>0.2</v>
      </c>
      <c r="N10" s="15">
        <v>0.2</v>
      </c>
      <c r="O10" s="15">
        <v>0.2</v>
      </c>
    </row>
    <row r="11" spans="2:15" x14ac:dyDescent="0.35">
      <c r="B11" t="s">
        <v>287</v>
      </c>
      <c r="C11" s="15" t="s">
        <v>15</v>
      </c>
      <c r="E11" s="16">
        <v>652</v>
      </c>
      <c r="F11">
        <v>652</v>
      </c>
      <c r="G11" s="15">
        <v>652</v>
      </c>
      <c r="H11" s="15">
        <v>124</v>
      </c>
      <c r="I11" s="15">
        <v>124</v>
      </c>
      <c r="J11">
        <v>254</v>
      </c>
      <c r="K11" s="15">
        <v>254</v>
      </c>
      <c r="L11" s="15">
        <v>254</v>
      </c>
      <c r="M11">
        <v>32</v>
      </c>
      <c r="N11" s="15">
        <v>32</v>
      </c>
      <c r="O11" s="15">
        <v>32</v>
      </c>
    </row>
    <row r="12" spans="2:15" x14ac:dyDescent="0.35">
      <c r="B12" s="16" t="s">
        <v>287</v>
      </c>
      <c r="C12" s="15" t="s">
        <v>19</v>
      </c>
      <c r="E12" s="16">
        <v>0</v>
      </c>
      <c r="F12">
        <v>0</v>
      </c>
      <c r="G12" s="15">
        <v>0</v>
      </c>
      <c r="H12" s="15">
        <v>6.4</v>
      </c>
      <c r="I12" s="15">
        <v>6.4</v>
      </c>
      <c r="J12">
        <v>13.2</v>
      </c>
      <c r="K12" s="15">
        <v>13.2</v>
      </c>
      <c r="L12" s="15">
        <v>13.2</v>
      </c>
      <c r="M12">
        <v>1.9</v>
      </c>
      <c r="N12" s="15">
        <v>1.9</v>
      </c>
      <c r="O12" s="15">
        <v>1.9</v>
      </c>
    </row>
    <row r="13" spans="2:15" x14ac:dyDescent="0.35">
      <c r="B13" s="16" t="s">
        <v>287</v>
      </c>
      <c r="C13" s="15" t="s">
        <v>23</v>
      </c>
      <c r="E13" s="16">
        <v>5.0999999999999996</v>
      </c>
      <c r="F13">
        <v>5.0999999999999996</v>
      </c>
      <c r="G13" s="15">
        <v>5.0999999999999996</v>
      </c>
      <c r="H13" s="15">
        <v>0</v>
      </c>
      <c r="I13" s="15">
        <v>0</v>
      </c>
      <c r="J13">
        <v>0</v>
      </c>
      <c r="K13" s="15">
        <v>0</v>
      </c>
      <c r="L13" s="15">
        <v>0</v>
      </c>
      <c r="M13">
        <v>0</v>
      </c>
      <c r="N13" s="15">
        <v>0</v>
      </c>
      <c r="O13" s="15">
        <v>0</v>
      </c>
    </row>
    <row r="21" spans="2:40" ht="26" x14ac:dyDescent="0.35">
      <c r="F21" s="32" t="s">
        <v>349</v>
      </c>
      <c r="G21" t="s">
        <v>352</v>
      </c>
      <c r="H21" t="s">
        <v>325</v>
      </c>
      <c r="I21" s="15" t="s">
        <v>326</v>
      </c>
      <c r="J21" s="15" t="s">
        <v>327</v>
      </c>
      <c r="K21" t="s">
        <v>328</v>
      </c>
      <c r="L21" s="15" t="s">
        <v>329</v>
      </c>
      <c r="M21" t="s">
        <v>330</v>
      </c>
      <c r="N21" s="15" t="s">
        <v>331</v>
      </c>
      <c r="O21" t="s">
        <v>332</v>
      </c>
      <c r="P21" s="15" t="s">
        <v>333</v>
      </c>
      <c r="Q21" t="s">
        <v>350</v>
      </c>
      <c r="R21" s="15" t="s">
        <v>351</v>
      </c>
      <c r="S21" t="s">
        <v>334</v>
      </c>
      <c r="T21" s="15" t="s">
        <v>335</v>
      </c>
      <c r="U21" t="s">
        <v>336</v>
      </c>
      <c r="V21" s="15" t="s">
        <v>340</v>
      </c>
      <c r="W21" t="s">
        <v>342</v>
      </c>
      <c r="Y21" s="31"/>
      <c r="AA21" s="31"/>
      <c r="AI21" s="31"/>
      <c r="AJ21" s="31"/>
      <c r="AL21" s="31"/>
      <c r="AM21" s="31"/>
      <c r="AN21" s="31"/>
    </row>
    <row r="22" spans="2:40" x14ac:dyDescent="0.35">
      <c r="B22" t="s">
        <v>297</v>
      </c>
      <c r="C22" s="15" t="s">
        <v>59</v>
      </c>
      <c r="D22" t="s">
        <v>60</v>
      </c>
      <c r="F22" s="15">
        <v>12</v>
      </c>
      <c r="G22" s="15">
        <v>25.5</v>
      </c>
      <c r="H22" s="15">
        <v>25.3</v>
      </c>
      <c r="I22" s="15">
        <v>30.4</v>
      </c>
      <c r="J22" s="15">
        <v>33</v>
      </c>
      <c r="K22" s="15">
        <v>25</v>
      </c>
      <c r="L22" s="15">
        <v>28.7</v>
      </c>
      <c r="M22" s="15">
        <v>27.1</v>
      </c>
      <c r="N22" s="15">
        <v>30.5</v>
      </c>
      <c r="O22" s="15">
        <v>30.2</v>
      </c>
      <c r="P22" s="15">
        <v>28.3</v>
      </c>
      <c r="Q22" s="15">
        <v>28.6</v>
      </c>
      <c r="R22" s="15">
        <v>33.799999999999997</v>
      </c>
      <c r="S22" s="15">
        <v>28.9</v>
      </c>
      <c r="T22" s="15">
        <v>31.3</v>
      </c>
      <c r="U22" s="15">
        <v>36.6</v>
      </c>
      <c r="V22" s="15">
        <v>37.4</v>
      </c>
      <c r="W22">
        <v>39</v>
      </c>
      <c r="Y22" s="15"/>
      <c r="AA22" s="15"/>
      <c r="AI22" s="15"/>
      <c r="AJ22" s="15"/>
      <c r="AL22" s="15"/>
      <c r="AM22" s="15"/>
      <c r="AN22" s="15"/>
    </row>
    <row r="23" spans="2:40" x14ac:dyDescent="0.35">
      <c r="B23" t="s">
        <v>298</v>
      </c>
      <c r="C23" s="15" t="s">
        <v>63</v>
      </c>
      <c r="D23" t="s">
        <v>64</v>
      </c>
      <c r="F23" s="15">
        <v>2700</v>
      </c>
      <c r="G23" s="15">
        <v>2600</v>
      </c>
      <c r="H23" s="15">
        <v>2000</v>
      </c>
      <c r="I23" s="15">
        <v>2000</v>
      </c>
      <c r="J23" s="15">
        <v>2000</v>
      </c>
      <c r="K23" s="15">
        <v>2150</v>
      </c>
      <c r="L23" s="15">
        <v>2150</v>
      </c>
      <c r="M23" s="15">
        <v>2000</v>
      </c>
      <c r="N23" s="15">
        <v>2000</v>
      </c>
      <c r="O23" s="15">
        <v>2250</v>
      </c>
      <c r="P23" s="15">
        <v>2000</v>
      </c>
      <c r="Q23" s="15">
        <v>2000</v>
      </c>
      <c r="R23" s="15">
        <v>2500</v>
      </c>
      <c r="S23" s="15">
        <v>2250</v>
      </c>
      <c r="T23" s="15">
        <v>2100</v>
      </c>
      <c r="U23" s="15">
        <v>2100</v>
      </c>
      <c r="V23" s="15">
        <v>2400</v>
      </c>
      <c r="W23">
        <v>2300</v>
      </c>
      <c r="Y23" s="15"/>
      <c r="AA23" s="15"/>
      <c r="AI23" s="15"/>
      <c r="AJ23" s="15"/>
      <c r="AL23" s="15"/>
      <c r="AM23" s="15"/>
      <c r="AN23" s="15"/>
    </row>
    <row r="24" spans="2:40" x14ac:dyDescent="0.35">
      <c r="B24" t="s">
        <v>299</v>
      </c>
      <c r="C24" s="15" t="s">
        <v>67</v>
      </c>
      <c r="D24" t="s">
        <v>300</v>
      </c>
      <c r="F24" s="15">
        <v>45.5</v>
      </c>
      <c r="G24" s="15">
        <v>105.2</v>
      </c>
      <c r="H24" s="15">
        <v>139.30000000000001</v>
      </c>
      <c r="I24" s="15">
        <v>165.6</v>
      </c>
      <c r="J24" s="15">
        <v>181.7</v>
      </c>
      <c r="K24" s="15">
        <v>132.5</v>
      </c>
      <c r="L24" s="15">
        <v>148.69999999999999</v>
      </c>
      <c r="M24" s="15">
        <v>144.1</v>
      </c>
      <c r="N24" s="15">
        <v>157.4</v>
      </c>
      <c r="O24" s="15">
        <v>157.80000000000001</v>
      </c>
      <c r="P24" s="15">
        <v>156</v>
      </c>
      <c r="Q24" s="15">
        <v>158.6</v>
      </c>
      <c r="R24" s="15">
        <v>141.69999999999999</v>
      </c>
      <c r="S24" s="15">
        <v>140.6</v>
      </c>
      <c r="T24" s="15">
        <v>155.9</v>
      </c>
      <c r="U24" s="15">
        <v>185.5</v>
      </c>
      <c r="V24" s="15">
        <v>178</v>
      </c>
      <c r="W24">
        <v>236.93</v>
      </c>
      <c r="Y24" s="15"/>
      <c r="AA24" s="15"/>
      <c r="AI24" s="15"/>
      <c r="AJ24" s="15"/>
      <c r="AL24" s="15"/>
      <c r="AM24" s="15"/>
      <c r="AN24" s="15"/>
    </row>
    <row r="25" spans="2:40" x14ac:dyDescent="0.35">
      <c r="B25" t="s">
        <v>301</v>
      </c>
      <c r="C25" s="15" t="s">
        <v>71</v>
      </c>
      <c r="D25" t="s">
        <v>32</v>
      </c>
      <c r="F25" s="15">
        <v>1.42</v>
      </c>
      <c r="G25" s="15">
        <v>1.83</v>
      </c>
      <c r="H25" s="15">
        <v>1.9550000000000001</v>
      </c>
      <c r="I25" s="15">
        <v>1.9550000000000001</v>
      </c>
      <c r="J25" s="15">
        <v>1.95</v>
      </c>
      <c r="K25" s="15">
        <v>1.9850000000000001</v>
      </c>
      <c r="L25" s="15">
        <v>2.0699999999999998</v>
      </c>
      <c r="M25" s="15">
        <v>1.944</v>
      </c>
      <c r="N25" s="15">
        <v>1.9350000000000001</v>
      </c>
      <c r="O25" s="15">
        <v>1.8140000000000001</v>
      </c>
      <c r="P25" s="15">
        <v>1.82</v>
      </c>
      <c r="Q25" s="15">
        <v>1.91</v>
      </c>
      <c r="R25" s="15">
        <v>2.0649999999999999</v>
      </c>
      <c r="S25" s="15">
        <v>1.94</v>
      </c>
      <c r="T25" s="15">
        <v>2.0649999999999999</v>
      </c>
      <c r="U25" s="15">
        <v>2.085</v>
      </c>
      <c r="V25" s="15">
        <v>2.0499999999999998</v>
      </c>
      <c r="W25">
        <v>2.0750000000000002</v>
      </c>
      <c r="Y25" s="15"/>
      <c r="AA25" s="15"/>
      <c r="AI25" s="15"/>
      <c r="AJ25" s="15"/>
      <c r="AL25" s="15"/>
      <c r="AM25" s="15"/>
      <c r="AN25" s="15"/>
    </row>
    <row r="26" spans="2:40" x14ac:dyDescent="0.35">
      <c r="B26" t="s">
        <v>302</v>
      </c>
      <c r="C26" s="15" t="s">
        <v>74</v>
      </c>
      <c r="D26" t="s">
        <v>46</v>
      </c>
      <c r="F26" s="15">
        <v>315</v>
      </c>
      <c r="G26" s="15">
        <v>710</v>
      </c>
      <c r="H26" s="15">
        <v>675</v>
      </c>
      <c r="I26" s="15">
        <v>750</v>
      </c>
      <c r="J26" s="15">
        <v>755</v>
      </c>
      <c r="K26" s="15">
        <v>720</v>
      </c>
      <c r="L26" s="15">
        <v>695</v>
      </c>
      <c r="M26" s="15">
        <v>760</v>
      </c>
      <c r="N26" s="15">
        <v>755</v>
      </c>
      <c r="O26" s="15">
        <v>655</v>
      </c>
      <c r="P26" s="15">
        <v>680</v>
      </c>
      <c r="Q26" s="15">
        <v>680</v>
      </c>
      <c r="R26" s="15">
        <v>840</v>
      </c>
      <c r="S26" s="15">
        <v>790</v>
      </c>
      <c r="T26" s="15">
        <v>925</v>
      </c>
      <c r="U26" s="15">
        <v>930</v>
      </c>
      <c r="V26" s="15">
        <v>755</v>
      </c>
      <c r="W26">
        <v>965</v>
      </c>
      <c r="Y26" s="15"/>
      <c r="AA26" s="15"/>
      <c r="AI26" s="15"/>
      <c r="AJ26" s="15"/>
      <c r="AL26" s="15"/>
      <c r="AM26" s="15"/>
      <c r="AN26" s="15"/>
    </row>
    <row r="27" spans="2:40" x14ac:dyDescent="0.35">
      <c r="B27" t="s">
        <v>303</v>
      </c>
      <c r="C27" s="15" t="s">
        <v>77</v>
      </c>
      <c r="D27" t="s">
        <v>46</v>
      </c>
      <c r="F27" s="15">
        <v>440</v>
      </c>
      <c r="G27" s="15">
        <v>1080</v>
      </c>
      <c r="H27" s="15">
        <v>1110</v>
      </c>
      <c r="I27" s="15">
        <v>1180</v>
      </c>
      <c r="J27" s="15">
        <v>1160</v>
      </c>
      <c r="K27" s="15">
        <v>1100</v>
      </c>
      <c r="L27" s="15">
        <v>1205</v>
      </c>
      <c r="M27" s="15">
        <v>1005</v>
      </c>
      <c r="N27" s="15">
        <v>1160</v>
      </c>
      <c r="O27" s="15">
        <v>1040</v>
      </c>
      <c r="P27" s="15">
        <v>1020</v>
      </c>
      <c r="Q27" s="15">
        <v>1000</v>
      </c>
      <c r="R27" s="15">
        <v>1250</v>
      </c>
      <c r="S27" s="15">
        <v>1180</v>
      </c>
      <c r="T27" s="15">
        <v>1205</v>
      </c>
      <c r="U27" s="15">
        <v>1205</v>
      </c>
      <c r="V27" s="15">
        <v>1400</v>
      </c>
      <c r="W27">
        <v>1565</v>
      </c>
      <c r="Y27" s="15"/>
      <c r="AA27" s="15"/>
      <c r="AI27" s="15"/>
      <c r="AJ27" s="15"/>
      <c r="AL27" s="15"/>
      <c r="AM27" s="15"/>
      <c r="AN27" s="15"/>
    </row>
    <row r="28" spans="2:40" s="15" customFormat="1" x14ac:dyDescent="0.35">
      <c r="B28" s="15" t="s">
        <v>307</v>
      </c>
      <c r="C28" s="15" t="s">
        <v>122</v>
      </c>
      <c r="D28" s="15" t="s">
        <v>46</v>
      </c>
      <c r="E28" s="16"/>
      <c r="F28" s="15">
        <v>755</v>
      </c>
      <c r="G28" s="15">
        <v>1790</v>
      </c>
      <c r="H28" s="15">
        <v>1785</v>
      </c>
      <c r="I28" s="15">
        <v>1930</v>
      </c>
      <c r="J28" s="15">
        <v>1915</v>
      </c>
      <c r="K28" s="15">
        <v>1820</v>
      </c>
      <c r="L28" s="15">
        <v>1900</v>
      </c>
      <c r="M28" s="15">
        <v>1845</v>
      </c>
      <c r="N28" s="15">
        <v>1915</v>
      </c>
      <c r="O28" s="15">
        <v>1695</v>
      </c>
      <c r="P28" s="15">
        <v>1700</v>
      </c>
      <c r="Q28" s="15">
        <v>1680</v>
      </c>
      <c r="R28" s="15">
        <v>2090</v>
      </c>
      <c r="S28" s="15">
        <v>1970</v>
      </c>
      <c r="T28" s="15">
        <v>2130</v>
      </c>
      <c r="U28" s="15">
        <v>2135</v>
      </c>
      <c r="V28" s="15">
        <v>2155</v>
      </c>
      <c r="W28" s="15">
        <v>2580</v>
      </c>
    </row>
    <row r="29" spans="2:40" s="15" customFormat="1" x14ac:dyDescent="0.35">
      <c r="B29" s="15" t="s">
        <v>308</v>
      </c>
      <c r="C29" s="15" t="s">
        <v>83</v>
      </c>
      <c r="D29" s="15" t="s">
        <v>32</v>
      </c>
      <c r="E29" s="16"/>
      <c r="F29" s="15">
        <v>0.59</v>
      </c>
      <c r="G29" s="15">
        <v>0.73</v>
      </c>
      <c r="H29" s="15">
        <v>0.74</v>
      </c>
      <c r="I29" s="15">
        <v>0.76</v>
      </c>
      <c r="J29" s="15">
        <v>0.77</v>
      </c>
      <c r="K29" s="15">
        <v>0.79</v>
      </c>
      <c r="L29" s="15">
        <v>0.76</v>
      </c>
      <c r="M29" s="15">
        <v>0.8</v>
      </c>
      <c r="N29" s="15">
        <v>0.76</v>
      </c>
      <c r="O29" s="15">
        <v>0.7</v>
      </c>
      <c r="P29" s="15">
        <v>0.73</v>
      </c>
      <c r="Q29" s="15">
        <v>0.77</v>
      </c>
      <c r="R29" s="15">
        <v>0.83</v>
      </c>
      <c r="S29" s="15">
        <v>0.78</v>
      </c>
      <c r="T29" s="15">
        <v>0.9</v>
      </c>
      <c r="U29" s="15">
        <v>0.91</v>
      </c>
      <c r="V29" s="15">
        <v>0.72</v>
      </c>
      <c r="W29" s="15">
        <v>0.77500000000000002</v>
      </c>
    </row>
    <row r="30" spans="2:40" s="15" customFormat="1" x14ac:dyDescent="0.35">
      <c r="B30" s="15" t="s">
        <v>309</v>
      </c>
      <c r="C30" s="15" t="s">
        <v>80</v>
      </c>
      <c r="D30" s="15" t="s">
        <v>32</v>
      </c>
      <c r="E30" s="16"/>
      <c r="F30" s="15">
        <v>0.72</v>
      </c>
      <c r="G30" s="15">
        <v>0.72</v>
      </c>
      <c r="H30" s="15">
        <v>0.72</v>
      </c>
      <c r="I30" s="15">
        <v>0.72</v>
      </c>
      <c r="J30" s="15">
        <v>0.72</v>
      </c>
      <c r="K30" s="15">
        <v>0.72</v>
      </c>
      <c r="L30" s="15">
        <v>0.72</v>
      </c>
      <c r="M30" s="15">
        <v>0.72</v>
      </c>
      <c r="N30" s="15">
        <v>0.72</v>
      </c>
      <c r="O30" s="15">
        <v>0.72</v>
      </c>
      <c r="P30" s="15">
        <v>0.72</v>
      </c>
      <c r="Q30" s="15">
        <v>0.72</v>
      </c>
      <c r="R30" s="15">
        <v>0.72</v>
      </c>
      <c r="S30" s="15">
        <v>0.72</v>
      </c>
      <c r="T30" s="15">
        <v>0.72</v>
      </c>
      <c r="U30" s="15">
        <v>0.72</v>
      </c>
      <c r="V30" s="15">
        <v>0.72</v>
      </c>
      <c r="W30" s="15">
        <v>0.72</v>
      </c>
    </row>
    <row r="31" spans="2:40" s="15" customFormat="1" x14ac:dyDescent="0.35">
      <c r="B31" s="15" t="s">
        <v>310</v>
      </c>
      <c r="C31" s="15" t="s">
        <v>280</v>
      </c>
      <c r="D31" s="15" t="s">
        <v>32</v>
      </c>
      <c r="E31" s="16"/>
      <c r="F31" s="15">
        <v>0.25</v>
      </c>
      <c r="G31" s="15">
        <v>0.32</v>
      </c>
      <c r="H31" s="15">
        <v>0.32</v>
      </c>
      <c r="I31" s="15">
        <v>0.32</v>
      </c>
      <c r="J31" s="15">
        <v>0.32</v>
      </c>
      <c r="K31" s="15">
        <v>0.32</v>
      </c>
      <c r="L31" s="15">
        <v>0.32</v>
      </c>
      <c r="M31" s="15">
        <v>0.32</v>
      </c>
      <c r="N31" s="15">
        <v>0.32</v>
      </c>
      <c r="O31" s="15">
        <v>0.32</v>
      </c>
      <c r="P31" s="15">
        <v>0.32</v>
      </c>
      <c r="Q31" s="15">
        <v>0.32</v>
      </c>
      <c r="R31" s="15">
        <v>0.32</v>
      </c>
      <c r="S31" s="15">
        <v>0.32</v>
      </c>
      <c r="T31" s="15">
        <v>0.32</v>
      </c>
      <c r="U31" s="15">
        <v>0.32</v>
      </c>
      <c r="V31" s="15">
        <v>0.38</v>
      </c>
      <c r="W31" s="15">
        <v>0.34</v>
      </c>
    </row>
    <row r="32" spans="2:40" s="15" customFormat="1" x14ac:dyDescent="0.35">
      <c r="B32" s="15" t="s">
        <v>311</v>
      </c>
      <c r="C32" s="15" t="s">
        <v>108</v>
      </c>
      <c r="D32" s="15" t="s">
        <v>32</v>
      </c>
      <c r="E32" s="16"/>
      <c r="F32" s="15">
        <v>0.38</v>
      </c>
      <c r="G32" s="15">
        <v>0.57999999999999996</v>
      </c>
      <c r="H32" s="15">
        <v>0.57999999999999996</v>
      </c>
      <c r="I32" s="15">
        <v>0.6</v>
      </c>
      <c r="J32" s="15">
        <v>0.6</v>
      </c>
      <c r="K32" s="15">
        <v>0.57999999999999996</v>
      </c>
      <c r="L32" s="15">
        <v>0.57999999999999996</v>
      </c>
      <c r="M32" s="15">
        <v>0.6</v>
      </c>
      <c r="N32" s="15">
        <v>0.6</v>
      </c>
      <c r="O32" s="15">
        <v>0.6</v>
      </c>
      <c r="P32" s="15">
        <v>0.57999999999999996</v>
      </c>
      <c r="Q32" s="15">
        <v>0.57999999999999996</v>
      </c>
      <c r="R32" s="15">
        <v>0.6</v>
      </c>
      <c r="S32" s="15">
        <v>0.6</v>
      </c>
      <c r="T32" s="15">
        <v>0.6</v>
      </c>
      <c r="U32" s="15">
        <v>0.6</v>
      </c>
      <c r="V32" s="15">
        <v>0.66</v>
      </c>
      <c r="W32" s="15">
        <v>0.66</v>
      </c>
    </row>
    <row r="33" spans="2:40" s="15" customFormat="1" x14ac:dyDescent="0.35">
      <c r="E33" s="16"/>
    </row>
    <row r="34" spans="2:40" s="15" customFormat="1" x14ac:dyDescent="0.35">
      <c r="E34" s="16"/>
    </row>
    <row r="35" spans="2:40" x14ac:dyDescent="0.35">
      <c r="B35" t="s">
        <v>304</v>
      </c>
      <c r="F35" s="15" t="s">
        <v>321</v>
      </c>
      <c r="G35" s="15" t="s">
        <v>322</v>
      </c>
      <c r="H35" s="15" t="s">
        <v>322</v>
      </c>
      <c r="I35" s="15" t="s">
        <v>322</v>
      </c>
      <c r="J35" s="15" t="s">
        <v>322</v>
      </c>
      <c r="K35" s="15" t="s">
        <v>322</v>
      </c>
      <c r="L35" s="15" t="s">
        <v>322</v>
      </c>
      <c r="M35" s="15" t="s">
        <v>322</v>
      </c>
      <c r="N35" s="15" t="s">
        <v>322</v>
      </c>
      <c r="O35" s="15" t="s">
        <v>322</v>
      </c>
      <c r="P35" s="15" t="s">
        <v>322</v>
      </c>
      <c r="Q35" s="15" t="s">
        <v>322</v>
      </c>
      <c r="R35" s="15" t="s">
        <v>322</v>
      </c>
      <c r="S35" s="15" t="s">
        <v>322</v>
      </c>
      <c r="T35" s="15" t="s">
        <v>322</v>
      </c>
      <c r="U35" s="15" t="s">
        <v>322</v>
      </c>
      <c r="V35" s="15" t="s">
        <v>341</v>
      </c>
      <c r="W35" s="15" t="s">
        <v>337</v>
      </c>
      <c r="Y35" s="15"/>
      <c r="AA35" s="15"/>
      <c r="AI35" s="15"/>
      <c r="AJ35" s="15"/>
      <c r="AL35" s="15"/>
      <c r="AM35" s="15"/>
      <c r="AN35" s="15"/>
    </row>
    <row r="36" spans="2:40" x14ac:dyDescent="0.35">
      <c r="B36" t="s">
        <v>305</v>
      </c>
      <c r="F36" s="15" t="s">
        <v>306</v>
      </c>
      <c r="G36" s="15" t="s">
        <v>323</v>
      </c>
      <c r="H36" s="15" t="s">
        <v>323</v>
      </c>
      <c r="I36" s="15" t="s">
        <v>324</v>
      </c>
      <c r="J36" s="15" t="s">
        <v>324</v>
      </c>
      <c r="K36" s="15" t="s">
        <v>323</v>
      </c>
      <c r="L36" s="15" t="s">
        <v>323</v>
      </c>
      <c r="M36" s="15" t="s">
        <v>324</v>
      </c>
      <c r="N36" s="15" t="s">
        <v>324</v>
      </c>
      <c r="O36" s="15" t="s">
        <v>324</v>
      </c>
      <c r="P36" s="15" t="s">
        <v>323</v>
      </c>
      <c r="Q36" s="15" t="s">
        <v>323</v>
      </c>
      <c r="R36" s="15" t="s">
        <v>324</v>
      </c>
      <c r="S36" s="15" t="s">
        <v>324</v>
      </c>
      <c r="T36" s="15" t="s">
        <v>324</v>
      </c>
      <c r="U36" s="15" t="s">
        <v>324</v>
      </c>
      <c r="V36" s="15" t="s">
        <v>339</v>
      </c>
      <c r="W36" s="15" t="s">
        <v>339</v>
      </c>
      <c r="Y36" s="15"/>
      <c r="AA36" s="15"/>
      <c r="AI36" s="15"/>
      <c r="AJ36" s="15"/>
      <c r="AL36" s="15"/>
      <c r="AM36" s="15"/>
      <c r="AN36" s="15"/>
    </row>
    <row r="37" spans="2:40" x14ac:dyDescent="0.35">
      <c r="B37" t="s">
        <v>312</v>
      </c>
      <c r="C37" s="15" t="s">
        <v>93</v>
      </c>
      <c r="D37" t="s">
        <v>313</v>
      </c>
      <c r="F37" s="15">
        <v>513.59</v>
      </c>
      <c r="G37" s="15">
        <v>659.38</v>
      </c>
      <c r="H37" s="15">
        <v>659.38</v>
      </c>
      <c r="I37" s="15">
        <v>659.38</v>
      </c>
      <c r="J37" s="15">
        <v>659.38</v>
      </c>
      <c r="K37" s="15">
        <v>659.38</v>
      </c>
      <c r="L37" s="15">
        <v>659.38</v>
      </c>
      <c r="M37" s="15">
        <v>659.38</v>
      </c>
      <c r="N37" s="15">
        <v>659.38</v>
      </c>
      <c r="O37" s="15">
        <v>659.38</v>
      </c>
      <c r="P37" s="15">
        <v>659.38</v>
      </c>
      <c r="Q37" s="15">
        <v>659.38</v>
      </c>
      <c r="R37" s="15">
        <v>659.38</v>
      </c>
      <c r="S37" s="15">
        <v>659.38</v>
      </c>
      <c r="T37" s="15">
        <v>659.38</v>
      </c>
      <c r="U37" s="15">
        <v>659.38</v>
      </c>
      <c r="V37" s="15">
        <v>786.13</v>
      </c>
      <c r="W37" s="15">
        <v>716.53</v>
      </c>
      <c r="Y37" s="15"/>
      <c r="AA37" s="15"/>
      <c r="AI37" s="15"/>
      <c r="AJ37" s="15"/>
      <c r="AL37" s="15"/>
      <c r="AM37" s="15"/>
      <c r="AN37" s="15"/>
    </row>
    <row r="38" spans="2:40" x14ac:dyDescent="0.35">
      <c r="B38" t="s">
        <v>314</v>
      </c>
      <c r="C38" s="15" t="s">
        <v>96</v>
      </c>
      <c r="D38" t="s">
        <v>313</v>
      </c>
      <c r="F38" s="15">
        <v>127</v>
      </c>
      <c r="G38" s="15">
        <v>152.4</v>
      </c>
      <c r="H38" s="15">
        <v>152.4</v>
      </c>
      <c r="I38" s="15">
        <v>152.4</v>
      </c>
      <c r="J38" s="15">
        <v>152.4</v>
      </c>
      <c r="K38" s="15">
        <v>152.4</v>
      </c>
      <c r="L38" s="15">
        <v>152.4</v>
      </c>
      <c r="M38" s="15">
        <v>152.4</v>
      </c>
      <c r="N38" s="15">
        <v>152.4</v>
      </c>
      <c r="O38" s="15">
        <v>152.4</v>
      </c>
      <c r="P38" s="15">
        <v>152.4</v>
      </c>
      <c r="Q38" s="15">
        <v>152.4</v>
      </c>
      <c r="R38" s="15">
        <v>152.4</v>
      </c>
      <c r="S38" s="15">
        <v>152.4</v>
      </c>
      <c r="T38" s="15">
        <v>152.4</v>
      </c>
      <c r="U38" s="15">
        <v>152.4</v>
      </c>
      <c r="V38" s="15">
        <v>165.1</v>
      </c>
      <c r="W38" s="15">
        <v>190.5</v>
      </c>
      <c r="Y38" s="15"/>
      <c r="AA38" s="15"/>
      <c r="AI38" s="15"/>
      <c r="AJ38" s="15"/>
      <c r="AL38" s="15"/>
      <c r="AM38" s="15"/>
      <c r="AN38" s="15"/>
    </row>
    <row r="39" spans="2:40" x14ac:dyDescent="0.35">
      <c r="B39" t="s">
        <v>315</v>
      </c>
      <c r="C39" s="15" t="s">
        <v>343</v>
      </c>
      <c r="D39" t="s">
        <v>313</v>
      </c>
      <c r="F39" s="15">
        <v>237.74</v>
      </c>
      <c r="G39" s="15">
        <v>306.83</v>
      </c>
      <c r="H39" s="15">
        <v>306.83</v>
      </c>
      <c r="I39" s="15">
        <v>306.83</v>
      </c>
      <c r="J39" s="15">
        <v>306.83</v>
      </c>
      <c r="K39" s="15">
        <v>306.83</v>
      </c>
      <c r="L39" s="15">
        <v>306.83</v>
      </c>
      <c r="M39" s="15">
        <v>306.83</v>
      </c>
      <c r="N39" s="15">
        <v>306.83</v>
      </c>
      <c r="O39" s="15">
        <v>306.83</v>
      </c>
      <c r="P39" s="15">
        <v>306.83</v>
      </c>
      <c r="Q39" s="15">
        <v>306.83</v>
      </c>
      <c r="R39" s="15">
        <v>306.83</v>
      </c>
      <c r="S39" s="15">
        <v>306.83</v>
      </c>
      <c r="T39" s="15">
        <v>306.83</v>
      </c>
      <c r="U39" s="15">
        <v>306.83</v>
      </c>
      <c r="V39" s="15">
        <v>368.3</v>
      </c>
      <c r="W39" s="15">
        <v>329.69</v>
      </c>
      <c r="Y39" s="15"/>
      <c r="AA39" s="15"/>
      <c r="AI39" s="15"/>
      <c r="AJ39" s="15"/>
      <c r="AL39" s="15"/>
      <c r="AM39" s="15"/>
      <c r="AN39" s="15"/>
    </row>
    <row r="40" spans="2:40" x14ac:dyDescent="0.35">
      <c r="B40" t="s">
        <v>316</v>
      </c>
      <c r="C40" s="15" t="s">
        <v>280</v>
      </c>
      <c r="D40" t="s">
        <v>313</v>
      </c>
      <c r="F40" s="15">
        <v>245.01</v>
      </c>
      <c r="G40" s="15">
        <v>315.58</v>
      </c>
      <c r="H40" s="15">
        <v>315.58</v>
      </c>
      <c r="I40" s="15">
        <v>315.58</v>
      </c>
      <c r="J40" s="15">
        <v>315.58</v>
      </c>
      <c r="K40" s="15">
        <v>315.58</v>
      </c>
      <c r="L40" s="15">
        <v>315.58</v>
      </c>
      <c r="M40" s="15">
        <v>315.58</v>
      </c>
      <c r="N40" s="15">
        <v>315.58</v>
      </c>
      <c r="O40" s="15">
        <v>315.58</v>
      </c>
      <c r="P40" s="15">
        <v>315.58</v>
      </c>
      <c r="Q40" s="15">
        <v>315.58</v>
      </c>
      <c r="R40" s="15">
        <v>315.58</v>
      </c>
      <c r="S40" s="15">
        <v>315.58</v>
      </c>
      <c r="T40" s="15">
        <v>315.58</v>
      </c>
      <c r="U40" s="15">
        <v>315.58</v>
      </c>
      <c r="V40" s="15">
        <v>377.82</v>
      </c>
      <c r="W40" s="15">
        <v>340.56</v>
      </c>
      <c r="Y40" s="15"/>
      <c r="AA40" s="15"/>
      <c r="AI40" s="15"/>
      <c r="AJ40" s="15"/>
      <c r="AL40" s="15"/>
      <c r="AM40" s="15"/>
      <c r="AN40" s="15"/>
    </row>
    <row r="41" spans="2:40" x14ac:dyDescent="0.35">
      <c r="B41" s="15" t="s">
        <v>317</v>
      </c>
      <c r="C41" s="15" t="s">
        <v>99</v>
      </c>
      <c r="D41" s="15" t="s">
        <v>313</v>
      </c>
      <c r="F41" s="15">
        <v>789.43</v>
      </c>
      <c r="G41" s="15">
        <v>1226.31</v>
      </c>
      <c r="H41" s="15">
        <v>1226.31</v>
      </c>
      <c r="I41" s="15">
        <v>1272.03</v>
      </c>
      <c r="J41" s="15">
        <v>1272.03</v>
      </c>
      <c r="K41" s="15">
        <v>1226.31</v>
      </c>
      <c r="L41" s="15">
        <v>1226.31</v>
      </c>
      <c r="M41" s="15">
        <v>1272.03</v>
      </c>
      <c r="N41" s="15">
        <v>1272.03</v>
      </c>
      <c r="O41" s="15">
        <v>1272.03</v>
      </c>
      <c r="P41" s="15">
        <v>1226.31</v>
      </c>
      <c r="Q41" s="15">
        <v>1226.31</v>
      </c>
      <c r="R41" s="15">
        <v>1272.03</v>
      </c>
      <c r="S41" s="15">
        <v>1272.03</v>
      </c>
      <c r="T41" s="15">
        <v>1272.03</v>
      </c>
      <c r="U41" s="15">
        <v>1272.03</v>
      </c>
      <c r="V41" s="15">
        <v>1397.76</v>
      </c>
      <c r="W41" s="15">
        <v>1397.76</v>
      </c>
      <c r="Y41" s="15"/>
      <c r="AA41" s="15"/>
      <c r="AI41" s="15"/>
      <c r="AJ41" s="15"/>
      <c r="AL41" s="15"/>
      <c r="AM41" s="15"/>
      <c r="AN41" s="15"/>
    </row>
    <row r="42" spans="2:40" x14ac:dyDescent="0.35">
      <c r="B42" s="15" t="s">
        <v>318</v>
      </c>
      <c r="C42" s="15" t="s">
        <v>102</v>
      </c>
      <c r="D42" s="15" t="s">
        <v>313</v>
      </c>
      <c r="F42" s="15">
        <v>203.2</v>
      </c>
      <c r="G42" s="15">
        <v>314.95999999999998</v>
      </c>
      <c r="H42" s="15">
        <v>314.95999999999998</v>
      </c>
      <c r="I42" s="15">
        <v>345.44</v>
      </c>
      <c r="J42" s="15">
        <v>345.44</v>
      </c>
      <c r="K42" s="15">
        <v>314.95999999999998</v>
      </c>
      <c r="L42" s="15">
        <v>314.95999999999998</v>
      </c>
      <c r="M42" s="15">
        <v>345.44</v>
      </c>
      <c r="N42" s="15">
        <v>345.44</v>
      </c>
      <c r="O42" s="15">
        <v>345.44</v>
      </c>
      <c r="P42" s="15">
        <v>314.95999999999998</v>
      </c>
      <c r="Q42" s="15">
        <v>314.95999999999998</v>
      </c>
      <c r="R42" s="15">
        <v>345.44</v>
      </c>
      <c r="S42" s="15">
        <v>345.44</v>
      </c>
      <c r="T42" s="15">
        <v>345.44</v>
      </c>
      <c r="U42" s="15">
        <v>345.44</v>
      </c>
      <c r="V42" s="15">
        <v>429.26</v>
      </c>
      <c r="W42" s="15">
        <v>429.26</v>
      </c>
      <c r="Y42" s="15"/>
      <c r="AA42" s="15"/>
      <c r="AI42" s="15"/>
      <c r="AJ42" s="15"/>
      <c r="AL42" s="15"/>
      <c r="AM42" s="15"/>
      <c r="AN42" s="15"/>
    </row>
    <row r="43" spans="2:40" x14ac:dyDescent="0.35">
      <c r="B43" s="15" t="s">
        <v>319</v>
      </c>
      <c r="C43" s="15" t="s">
        <v>105</v>
      </c>
      <c r="D43" s="15" t="s">
        <v>313</v>
      </c>
      <c r="F43" s="15">
        <v>364.24</v>
      </c>
      <c r="G43" s="15">
        <v>565.91</v>
      </c>
      <c r="H43" s="15">
        <v>565.91</v>
      </c>
      <c r="I43" s="15">
        <v>584.20000000000005</v>
      </c>
      <c r="J43" s="15">
        <v>584.20000000000005</v>
      </c>
      <c r="K43" s="15">
        <v>565.91</v>
      </c>
      <c r="L43" s="15">
        <v>565.91</v>
      </c>
      <c r="M43" s="15">
        <v>584.20000000000005</v>
      </c>
      <c r="N43" s="15">
        <v>584.20000000000005</v>
      </c>
      <c r="O43" s="15">
        <v>584.20000000000005</v>
      </c>
      <c r="P43" s="15">
        <v>565.91</v>
      </c>
      <c r="Q43" s="15">
        <v>565.91</v>
      </c>
      <c r="R43" s="15">
        <v>584.20000000000005</v>
      </c>
      <c r="S43" s="15">
        <v>584.20000000000005</v>
      </c>
      <c r="T43" s="15">
        <v>584.20000000000005</v>
      </c>
      <c r="U43" s="15">
        <v>584.20000000000005</v>
      </c>
      <c r="V43" s="15">
        <v>634.49</v>
      </c>
      <c r="W43" s="15">
        <v>634.49</v>
      </c>
      <c r="Y43" s="15"/>
      <c r="AA43" s="15"/>
      <c r="AI43" s="15"/>
      <c r="AJ43" s="15"/>
      <c r="AL43" s="15"/>
      <c r="AM43" s="15"/>
      <c r="AN43" s="15"/>
    </row>
    <row r="44" spans="2:40" x14ac:dyDescent="0.35">
      <c r="B44" s="15" t="s">
        <v>320</v>
      </c>
      <c r="C44" s="15" t="s">
        <v>108</v>
      </c>
      <c r="D44" s="15" t="s">
        <v>313</v>
      </c>
      <c r="F44" s="15">
        <v>375.85</v>
      </c>
      <c r="G44" s="15">
        <v>583.91</v>
      </c>
      <c r="H44" s="15">
        <v>583.91</v>
      </c>
      <c r="I44" s="15">
        <v>603.88</v>
      </c>
      <c r="J44" s="15">
        <v>603.88</v>
      </c>
      <c r="K44" s="15">
        <v>583.91</v>
      </c>
      <c r="L44" s="15">
        <v>583.91</v>
      </c>
      <c r="M44" s="15">
        <v>603.88</v>
      </c>
      <c r="N44" s="15">
        <v>603.88</v>
      </c>
      <c r="O44" s="15">
        <v>603.88</v>
      </c>
      <c r="P44" s="15">
        <v>583.91</v>
      </c>
      <c r="Q44" s="15">
        <v>583.91</v>
      </c>
      <c r="R44" s="15">
        <v>603.88</v>
      </c>
      <c r="S44" s="15">
        <v>603.88</v>
      </c>
      <c r="T44" s="15">
        <v>603.88</v>
      </c>
      <c r="U44" s="15">
        <v>603.88</v>
      </c>
      <c r="V44" s="15">
        <v>658.77</v>
      </c>
      <c r="W44" s="15">
        <v>658.77</v>
      </c>
      <c r="Y44" s="15"/>
      <c r="AA44" s="15"/>
      <c r="AI44" s="15"/>
      <c r="AJ44" s="15"/>
      <c r="AL44" s="15"/>
      <c r="AM44" s="15"/>
      <c r="AN44" s="15"/>
    </row>
    <row r="50" spans="4:6" x14ac:dyDescent="0.35">
      <c r="D50" t="s">
        <v>344</v>
      </c>
      <c r="F50" s="15" t="s">
        <v>353</v>
      </c>
    </row>
    <row r="51" spans="4:6" x14ac:dyDescent="0.35">
      <c r="D51" t="s">
        <v>345</v>
      </c>
      <c r="F51" s="15">
        <v>1</v>
      </c>
    </row>
    <row r="52" spans="4:6" x14ac:dyDescent="0.35">
      <c r="D52" t="s">
        <v>346</v>
      </c>
      <c r="F52" s="15">
        <v>0.7</v>
      </c>
    </row>
    <row r="53" spans="4:6" x14ac:dyDescent="0.35">
      <c r="D53" t="s">
        <v>347</v>
      </c>
      <c r="F53" s="15">
        <v>0.45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Calculator</vt:lpstr>
      <vt:lpstr>tractor and implement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2026-08-14T07:07:38Z</dcterms:created>
  <dcterms:modified xsi:type="dcterms:W3CDTF">2026-08-15T17:51:42Z</dcterms:modified>
</cp:coreProperties>
</file>